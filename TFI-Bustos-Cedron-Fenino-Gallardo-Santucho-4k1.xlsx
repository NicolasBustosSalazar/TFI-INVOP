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frtutneduar-my.sharepoint.com/personal/sabrina_cedron_alu_frt_utn_edu_ar/Documents/Investigación Operativa/TRABAJO DE CAMPO/"/>
    </mc:Choice>
  </mc:AlternateContent>
  <xr:revisionPtr revIDLastSave="194" documentId="8_{2FEFD04B-24E1-432B-B695-85D08C79E52C}" xr6:coauthVersionLast="47" xr6:coauthVersionMax="47" xr10:uidLastSave="{E9EF885A-B9DA-4FB0-9B9D-7480C43495AC}"/>
  <bookViews>
    <workbookView xWindow="-108" yWindow="-108" windowWidth="23256" windowHeight="12456" xr2:uid="{A802C0F6-C182-4252-B52F-F5530CFD3A2E}"/>
  </bookViews>
  <sheets>
    <sheet name="MODELOPRONOSTICO" sheetId="19" r:id="rId1"/>
    <sheet name="DemandaERenovables" sheetId="5" r:id="rId2"/>
    <sheet name="MODELONEWSVENDOR" sheetId="6" r:id="rId3"/>
    <sheet name="PARAMETROSPL" sheetId="8" r:id="rId4"/>
    <sheet name="DATOSMENSUALES" sheetId="9" r:id="rId5"/>
    <sheet name="Informe de respuestas 1" sheetId="26" r:id="rId6"/>
    <sheet name="Informe de sensibilidad 1" sheetId="27" r:id="rId7"/>
    <sheet name="PL MULTIPERIODO" sheetId="7" r:id="rId8"/>
    <sheet name="Informe de sensibilidad 2" sheetId="31" r:id="rId9"/>
    <sheet name="Informe de respuestas 2" sheetId="30" r:id="rId10"/>
    <sheet name="PL MULT. AS-TEMPERATURA +10%" sheetId="24" r:id="rId11"/>
    <sheet name="Informe de sensibilidad 3" sheetId="36" r:id="rId12"/>
    <sheet name="PL MULT. AS-TMAX" sheetId="32" r:id="rId13"/>
    <sheet name="PL MULT. AS-TEMP + Tmax" sheetId="37" r:id="rId14"/>
    <sheet name="ANALISIS DE SENSIBILIDAD" sheetId="38" r:id="rId15"/>
  </sheets>
  <definedNames>
    <definedName name="solver_adj" localSheetId="13" hidden="1">'PL MULT. AS-TEMP + Tmax'!$C$7:$N$12</definedName>
    <definedName name="solver_adj" localSheetId="10" hidden="1">'PL MULT. AS-TEMPERATURA +10%'!$C$7:$N$12</definedName>
    <definedName name="solver_adj" localSheetId="12" hidden="1">'PL MULT. AS-TMAX'!$C$7:$N$12</definedName>
    <definedName name="solver_adj" localSheetId="7" hidden="1">'PL MULTIPERIODO'!$C$7:$N$12</definedName>
    <definedName name="solver_cvg" localSheetId="13" hidden="1">0.0001</definedName>
    <definedName name="solver_cvg" localSheetId="10" hidden="1">0.0001</definedName>
    <definedName name="solver_cvg" localSheetId="12" hidden="1">0.0001</definedName>
    <definedName name="solver_cvg" localSheetId="7" hidden="1">0.0001</definedName>
    <definedName name="solver_drv" localSheetId="13" hidden="1">1</definedName>
    <definedName name="solver_drv" localSheetId="10" hidden="1">1</definedName>
    <definedName name="solver_drv" localSheetId="12" hidden="1">1</definedName>
    <definedName name="solver_drv" localSheetId="7" hidden="1">1</definedName>
    <definedName name="solver_eng" localSheetId="13" hidden="1">2</definedName>
    <definedName name="solver_eng" localSheetId="10" hidden="1">2</definedName>
    <definedName name="solver_eng" localSheetId="12" hidden="1">2</definedName>
    <definedName name="solver_eng" localSheetId="7" hidden="1">2</definedName>
    <definedName name="solver_est" localSheetId="13" hidden="1">1</definedName>
    <definedName name="solver_est" localSheetId="10" hidden="1">1</definedName>
    <definedName name="solver_est" localSheetId="12" hidden="1">1</definedName>
    <definedName name="solver_est" localSheetId="7" hidden="1">1</definedName>
    <definedName name="solver_itr" localSheetId="13" hidden="1">2147483647</definedName>
    <definedName name="solver_itr" localSheetId="10" hidden="1">2147483647</definedName>
    <definedName name="solver_itr" localSheetId="12" hidden="1">2147483647</definedName>
    <definedName name="solver_itr" localSheetId="7" hidden="1">2147483647</definedName>
    <definedName name="solver_lhs1" localSheetId="13" hidden="1">'PL MULT. AS-TEMP + Tmax'!$C$27:$N$27</definedName>
    <definedName name="solver_lhs1" localSheetId="10" hidden="1">'PL MULT. AS-TEMPERATURA +10%'!$C$27:$N$27</definedName>
    <definedName name="solver_lhs1" localSheetId="12" hidden="1">'PL MULT. AS-TMAX'!$C$27:$N$27</definedName>
    <definedName name="solver_lhs1" localSheetId="7" hidden="1">'PL MULTIPERIODO'!$C$27:$N$27</definedName>
    <definedName name="solver_lhs2" localSheetId="13" hidden="1">'PL MULT. AS-TEMP + Tmax'!$C$33:$N$33</definedName>
    <definedName name="solver_lhs2" localSheetId="10" hidden="1">'PL MULT. AS-TEMPERATURA +10%'!$C$33:$N$33</definedName>
    <definedName name="solver_lhs2" localSheetId="12" hidden="1">'PL MULT. AS-TMAX'!$C$33:$N$33</definedName>
    <definedName name="solver_lhs2" localSheetId="7" hidden="1">'PL MULTIPERIODO'!$C$33:$N$33</definedName>
    <definedName name="solver_lhs3" localSheetId="13" hidden="1">'PL MULT. AS-TEMP + Tmax'!$C$42:$N$42</definedName>
    <definedName name="solver_lhs3" localSheetId="10" hidden="1">'PL MULT. AS-TEMPERATURA +10%'!$C$42:$N$42</definedName>
    <definedName name="solver_lhs3" localSheetId="12" hidden="1">'PL MULT. AS-TMAX'!$C$42:$N$42</definedName>
    <definedName name="solver_lhs3" localSheetId="7" hidden="1">'PL MULTIPERIODO'!$C$42:$N$42</definedName>
    <definedName name="solver_lhs4" localSheetId="13" hidden="1">'PL MULT. AS-TEMP + Tmax'!$C$49:$N$49</definedName>
    <definedName name="solver_lhs4" localSheetId="10" hidden="1">'PL MULT. AS-TEMPERATURA +10%'!$C$49:$N$49</definedName>
    <definedName name="solver_lhs4" localSheetId="12" hidden="1">'PL MULT. AS-TMAX'!$C$49:$N$49</definedName>
    <definedName name="solver_lhs4" localSheetId="7" hidden="1">'PL MULTIPERIODO'!$C$49:$N$49</definedName>
    <definedName name="solver_lhs5" localSheetId="13" hidden="1">'PL MULT. AS-TEMP + Tmax'!$C$55:$N$55</definedName>
    <definedName name="solver_lhs5" localSheetId="10" hidden="1">'PL MULT. AS-TEMPERATURA +10%'!$C$55:$N$55</definedName>
    <definedName name="solver_lhs5" localSheetId="12" hidden="1">'PL MULT. AS-TMAX'!$C$55:$N$55</definedName>
    <definedName name="solver_lhs5" localSheetId="7" hidden="1">'PL MULTIPERIODO'!$C$55:$N$55</definedName>
    <definedName name="solver_lhs6" localSheetId="13" hidden="1">'PL MULT. AS-TEMP + Tmax'!$C$63:$N$63</definedName>
    <definedName name="solver_lhs6" localSheetId="10" hidden="1">'PL MULT. AS-TEMPERATURA +10%'!$C$63:$N$63</definedName>
    <definedName name="solver_lhs6" localSheetId="12" hidden="1">'PL MULT. AS-TMAX'!$C$63:$N$63</definedName>
    <definedName name="solver_lhs6" localSheetId="7" hidden="1">'PL MULTIPERIODO'!$C$63:$N$63</definedName>
    <definedName name="solver_lhs7" localSheetId="13" hidden="1">'PL MULT. AS-TEMP + Tmax'!$C$63:$N$63</definedName>
    <definedName name="solver_lhs7" localSheetId="10" hidden="1">'PL MULT. AS-TEMPERATURA +10%'!$C$63:$N$63</definedName>
    <definedName name="solver_lhs7" localSheetId="12" hidden="1">'PL MULT. AS-TMAX'!$C$63:$N$63</definedName>
    <definedName name="solver_lhs7" localSheetId="7" hidden="1">'PL MULTIPERIODO'!$C$63:$N$63</definedName>
    <definedName name="solver_lhs8" localSheetId="13" hidden="1">'PL MULT. AS-TEMP + Tmax'!$C$63:$N$63</definedName>
    <definedName name="solver_lhs8" localSheetId="10" hidden="1">'PL MULT. AS-TEMPERATURA +10%'!$C$63:$N$63</definedName>
    <definedName name="solver_lhs8" localSheetId="12" hidden="1">'PL MULT. AS-TMAX'!$C$63:$N$63</definedName>
    <definedName name="solver_lhs8" localSheetId="7" hidden="1">'PL MULTIPERIODO'!$C$63:$N$63</definedName>
    <definedName name="solver_lhs9" localSheetId="13" hidden="1">'PL MULT. AS-TEMP + Tmax'!$C$63:$N$63</definedName>
    <definedName name="solver_lhs9" localSheetId="10" hidden="1">'PL MULT. AS-TEMPERATURA +10%'!$C$63:$N$63</definedName>
    <definedName name="solver_lhs9" localSheetId="12" hidden="1">'PL MULT. AS-TMAX'!$C$63:$N$63</definedName>
    <definedName name="solver_lhs9" localSheetId="7" hidden="1">'PL MULTIPERIODO'!$C$63:$N$63</definedName>
    <definedName name="solver_mip" localSheetId="13" hidden="1">2147483647</definedName>
    <definedName name="solver_mip" localSheetId="10" hidden="1">2147483647</definedName>
    <definedName name="solver_mip" localSheetId="12" hidden="1">2147483647</definedName>
    <definedName name="solver_mip" localSheetId="7" hidden="1">2147483647</definedName>
    <definedName name="solver_mni" localSheetId="13" hidden="1">30</definedName>
    <definedName name="solver_mni" localSheetId="10" hidden="1">30</definedName>
    <definedName name="solver_mni" localSheetId="12" hidden="1">30</definedName>
    <definedName name="solver_mni" localSheetId="7" hidden="1">30</definedName>
    <definedName name="solver_mrt" localSheetId="13" hidden="1">0.075</definedName>
    <definedName name="solver_mrt" localSheetId="10" hidden="1">0.075</definedName>
    <definedName name="solver_mrt" localSheetId="12" hidden="1">0.075</definedName>
    <definedName name="solver_mrt" localSheetId="7" hidden="1">0.075</definedName>
    <definedName name="solver_msl" localSheetId="13" hidden="1">2</definedName>
    <definedName name="solver_msl" localSheetId="10" hidden="1">2</definedName>
    <definedName name="solver_msl" localSheetId="12" hidden="1">2</definedName>
    <definedName name="solver_msl" localSheetId="7" hidden="1">2</definedName>
    <definedName name="solver_neg" localSheetId="13" hidden="1">1</definedName>
    <definedName name="solver_neg" localSheetId="10" hidden="1">1</definedName>
    <definedName name="solver_neg" localSheetId="12" hidden="1">1</definedName>
    <definedName name="solver_neg" localSheetId="7" hidden="1">1</definedName>
    <definedName name="solver_nod" localSheetId="13" hidden="1">2147483647</definedName>
    <definedName name="solver_nod" localSheetId="10" hidden="1">2147483647</definedName>
    <definedName name="solver_nod" localSheetId="12" hidden="1">2147483647</definedName>
    <definedName name="solver_nod" localSheetId="7" hidden="1">2147483647</definedName>
    <definedName name="solver_num" localSheetId="13" hidden="1">6</definedName>
    <definedName name="solver_num" localSheetId="10" hidden="1">6</definedName>
    <definedName name="solver_num" localSheetId="12" hidden="1">6</definedName>
    <definedName name="solver_num" localSheetId="7" hidden="1">6</definedName>
    <definedName name="solver_nwt" localSheetId="13" hidden="1">1</definedName>
    <definedName name="solver_nwt" localSheetId="10" hidden="1">1</definedName>
    <definedName name="solver_nwt" localSheetId="12" hidden="1">1</definedName>
    <definedName name="solver_nwt" localSheetId="7" hidden="1">1</definedName>
    <definedName name="solver_opt" localSheetId="13" hidden="1">'PL MULT. AS-TEMP + Tmax'!$C$20</definedName>
    <definedName name="solver_opt" localSheetId="10" hidden="1">'PL MULT. AS-TEMPERATURA +10%'!$C$20</definedName>
    <definedName name="solver_opt" localSheetId="12" hidden="1">'PL MULT. AS-TMAX'!$C$20</definedName>
    <definedName name="solver_opt" localSheetId="7" hidden="1">'PL MULTIPERIODO'!$C$20</definedName>
    <definedName name="solver_pre" localSheetId="13" hidden="1">0.000001</definedName>
    <definedName name="solver_pre" localSheetId="10" hidden="1">0.000001</definedName>
    <definedName name="solver_pre" localSheetId="12" hidden="1">0.000001</definedName>
    <definedName name="solver_pre" localSheetId="7" hidden="1">0.000001</definedName>
    <definedName name="solver_rbv" localSheetId="13" hidden="1">1</definedName>
    <definedName name="solver_rbv" localSheetId="10" hidden="1">1</definedName>
    <definedName name="solver_rbv" localSheetId="12" hidden="1">1</definedName>
    <definedName name="solver_rbv" localSheetId="7" hidden="1">1</definedName>
    <definedName name="solver_rel1" localSheetId="13" hidden="1">2</definedName>
    <definedName name="solver_rel1" localSheetId="10" hidden="1">2</definedName>
    <definedName name="solver_rel1" localSheetId="12" hidden="1">2</definedName>
    <definedName name="solver_rel1" localSheetId="7" hidden="1">2</definedName>
    <definedName name="solver_rel2" localSheetId="13" hidden="1">3</definedName>
    <definedName name="solver_rel2" localSheetId="10" hidden="1">3</definedName>
    <definedName name="solver_rel2" localSheetId="12" hidden="1">3</definedName>
    <definedName name="solver_rel2" localSheetId="7" hidden="1">3</definedName>
    <definedName name="solver_rel3" localSheetId="13" hidden="1">2</definedName>
    <definedName name="solver_rel3" localSheetId="10" hidden="1">2</definedName>
    <definedName name="solver_rel3" localSheetId="12" hidden="1">2</definedName>
    <definedName name="solver_rel3" localSheetId="7" hidden="1">2</definedName>
    <definedName name="solver_rel4" localSheetId="13" hidden="1">2</definedName>
    <definedName name="solver_rel4" localSheetId="10" hidden="1">2</definedName>
    <definedName name="solver_rel4" localSheetId="12" hidden="1">2</definedName>
    <definedName name="solver_rel4" localSheetId="7" hidden="1">2</definedName>
    <definedName name="solver_rel5" localSheetId="13" hidden="1">2</definedName>
    <definedName name="solver_rel5" localSheetId="10" hidden="1">2</definedName>
    <definedName name="solver_rel5" localSheetId="12" hidden="1">2</definedName>
    <definedName name="solver_rel5" localSheetId="7" hidden="1">2</definedName>
    <definedName name="solver_rel6" localSheetId="13" hidden="1">1</definedName>
    <definedName name="solver_rel6" localSheetId="10" hidden="1">1</definedName>
    <definedName name="solver_rel6" localSheetId="12" hidden="1">1</definedName>
    <definedName name="solver_rel6" localSheetId="7" hidden="1">1</definedName>
    <definedName name="solver_rel7" localSheetId="13" hidden="1">1</definedName>
    <definedName name="solver_rel7" localSheetId="10" hidden="1">1</definedName>
    <definedName name="solver_rel7" localSheetId="12" hidden="1">1</definedName>
    <definedName name="solver_rel7" localSheetId="7" hidden="1">1</definedName>
    <definedName name="solver_rel8" localSheetId="13" hidden="1">1</definedName>
    <definedName name="solver_rel8" localSheetId="10" hidden="1">1</definedName>
    <definedName name="solver_rel8" localSheetId="12" hidden="1">1</definedName>
    <definedName name="solver_rel8" localSheetId="7" hidden="1">1</definedName>
    <definedName name="solver_rel9" localSheetId="13" hidden="1">1</definedName>
    <definedName name="solver_rel9" localSheetId="10" hidden="1">1</definedName>
    <definedName name="solver_rel9" localSheetId="12" hidden="1">1</definedName>
    <definedName name="solver_rel9" localSheetId="7" hidden="1">1</definedName>
    <definedName name="solver_rhs1" localSheetId="13" hidden="1">'PL MULT. AS-TEMP + Tmax'!$C$29:$N$29</definedName>
    <definedName name="solver_rhs1" localSheetId="10" hidden="1">'PL MULT. AS-TEMPERATURA +10%'!$C$29:$N$29</definedName>
    <definedName name="solver_rhs1" localSheetId="12" hidden="1">'PL MULT. AS-TMAX'!$C$29:$N$29</definedName>
    <definedName name="solver_rhs1" localSheetId="7" hidden="1">'PL MULTIPERIODO'!$C$29:$N$29</definedName>
    <definedName name="solver_rhs2" localSheetId="13" hidden="1">'PL MULT. AS-TEMP + Tmax'!$C$35:$N$35</definedName>
    <definedName name="solver_rhs2" localSheetId="10" hidden="1">'PL MULT. AS-TEMPERATURA +10%'!$C$35:$N$35</definedName>
    <definedName name="solver_rhs2" localSheetId="12" hidden="1">'PL MULT. AS-TMAX'!$C$35:$N$35</definedName>
    <definedName name="solver_rhs2" localSheetId="7" hidden="1">'PL MULTIPERIODO'!$C$35:$N$35</definedName>
    <definedName name="solver_rhs3" localSheetId="13" hidden="1">'PL MULT. AS-TEMP + Tmax'!$C$44:$N$44</definedName>
    <definedName name="solver_rhs3" localSheetId="10" hidden="1">'PL MULT. AS-TEMPERATURA +10%'!$C$44:$N$44</definedName>
    <definedName name="solver_rhs3" localSheetId="12" hidden="1">'PL MULT. AS-TMAX'!$C$44:$N$44</definedName>
    <definedName name="solver_rhs3" localSheetId="7" hidden="1">'PL MULTIPERIODO'!$C$44:$N$44</definedName>
    <definedName name="solver_rhs4" localSheetId="13" hidden="1">'PL MULT. AS-TEMP + Tmax'!$C$51:$N$51</definedName>
    <definedName name="solver_rhs4" localSheetId="10" hidden="1">'PL MULT. AS-TEMPERATURA +10%'!$C$51:$N$51</definedName>
    <definedName name="solver_rhs4" localSheetId="12" hidden="1">'PL MULT. AS-TMAX'!$C$51:$N$51</definedName>
    <definedName name="solver_rhs4" localSheetId="7" hidden="1">'PL MULTIPERIODO'!$C$51:$N$51</definedName>
    <definedName name="solver_rhs5" localSheetId="13" hidden="1">'PL MULT. AS-TEMP + Tmax'!$C$57:$N$57</definedName>
    <definedName name="solver_rhs5" localSheetId="10" hidden="1">'PL MULT. AS-TEMPERATURA +10%'!$C$57:$N$57</definedName>
    <definedName name="solver_rhs5" localSheetId="12" hidden="1">'PL MULT. AS-TMAX'!$C$57:$N$57</definedName>
    <definedName name="solver_rhs5" localSheetId="7" hidden="1">'PL MULTIPERIODO'!$C$57:$N$57</definedName>
    <definedName name="solver_rhs6" localSheetId="13" hidden="1">'PL MULT. AS-TEMP + Tmax'!$C$65:$N$65</definedName>
    <definedName name="solver_rhs6" localSheetId="10" hidden="1">'PL MULT. AS-TEMPERATURA +10%'!$C$65:$N$65</definedName>
    <definedName name="solver_rhs6" localSheetId="12" hidden="1">'PL MULT. AS-TMAX'!$C$65:$N$65</definedName>
    <definedName name="solver_rhs6" localSheetId="7" hidden="1">'PL MULTIPERIODO'!$C$65:$N$65</definedName>
    <definedName name="solver_rhs7" localSheetId="13" hidden="1">'PL MULT. AS-TEMP + Tmax'!$C$65:$N$65</definedName>
    <definedName name="solver_rhs7" localSheetId="10" hidden="1">'PL MULT. AS-TEMPERATURA +10%'!$C$65:$N$65</definedName>
    <definedName name="solver_rhs7" localSheetId="12" hidden="1">'PL MULT. AS-TMAX'!$C$65:$N$65</definedName>
    <definedName name="solver_rhs7" localSheetId="7" hidden="1">'PL MULTIPERIODO'!$C$65:$N$65</definedName>
    <definedName name="solver_rhs8" localSheetId="13" hidden="1">'PL MULT. AS-TEMP + Tmax'!$C$65:$N$65</definedName>
    <definedName name="solver_rhs8" localSheetId="10" hidden="1">'PL MULT. AS-TEMPERATURA +10%'!$C$65:$N$65</definedName>
    <definedName name="solver_rhs8" localSheetId="12" hidden="1">'PL MULT. AS-TMAX'!$C$65:$N$65</definedName>
    <definedName name="solver_rhs8" localSheetId="7" hidden="1">'PL MULTIPERIODO'!$C$65:$N$65</definedName>
    <definedName name="solver_rhs9" localSheetId="13" hidden="1">'PL MULT. AS-TEMP + Tmax'!$C$65:$N$65</definedName>
    <definedName name="solver_rhs9" localSheetId="10" hidden="1">'PL MULT. AS-TEMPERATURA +10%'!$C$65:$N$65</definedName>
    <definedName name="solver_rhs9" localSheetId="12" hidden="1">'PL MULT. AS-TMAX'!$C$65:$N$65</definedName>
    <definedName name="solver_rhs9" localSheetId="7" hidden="1">'PL MULTIPERIODO'!$C$65:$N$65</definedName>
    <definedName name="solver_rlx" localSheetId="13" hidden="1">2</definedName>
    <definedName name="solver_rlx" localSheetId="10" hidden="1">2</definedName>
    <definedName name="solver_rlx" localSheetId="12" hidden="1">2</definedName>
    <definedName name="solver_rlx" localSheetId="7" hidden="1">2</definedName>
    <definedName name="solver_rsd" localSheetId="13" hidden="1">0</definedName>
    <definedName name="solver_rsd" localSheetId="10" hidden="1">0</definedName>
    <definedName name="solver_rsd" localSheetId="12" hidden="1">0</definedName>
    <definedName name="solver_rsd" localSheetId="7" hidden="1">0</definedName>
    <definedName name="solver_scl" localSheetId="13" hidden="1">1</definedName>
    <definedName name="solver_scl" localSheetId="10" hidden="1">1</definedName>
    <definedName name="solver_scl" localSheetId="12" hidden="1">1</definedName>
    <definedName name="solver_scl" localSheetId="7" hidden="1">1</definedName>
    <definedName name="solver_sho" localSheetId="13" hidden="1">2</definedName>
    <definedName name="solver_sho" localSheetId="10" hidden="1">2</definedName>
    <definedName name="solver_sho" localSheetId="12" hidden="1">2</definedName>
    <definedName name="solver_sho" localSheetId="7" hidden="1">2</definedName>
    <definedName name="solver_ssz" localSheetId="13" hidden="1">100</definedName>
    <definedName name="solver_ssz" localSheetId="10" hidden="1">100</definedName>
    <definedName name="solver_ssz" localSheetId="12" hidden="1">100</definedName>
    <definedName name="solver_ssz" localSheetId="7" hidden="1">100</definedName>
    <definedName name="solver_tim" localSheetId="13" hidden="1">2147483647</definedName>
    <definedName name="solver_tim" localSheetId="10" hidden="1">2147483647</definedName>
    <definedName name="solver_tim" localSheetId="12" hidden="1">2147483647</definedName>
    <definedName name="solver_tim" localSheetId="7" hidden="1">2147483647</definedName>
    <definedName name="solver_tol" localSheetId="13" hidden="1">0.01</definedName>
    <definedName name="solver_tol" localSheetId="10" hidden="1">0.01</definedName>
    <definedName name="solver_tol" localSheetId="12" hidden="1">0.01</definedName>
    <definedName name="solver_tol" localSheetId="7" hidden="1">0.01</definedName>
    <definedName name="solver_typ" localSheetId="13" hidden="1">2</definedName>
    <definedName name="solver_typ" localSheetId="10" hidden="1">2</definedName>
    <definedName name="solver_typ" localSheetId="12" hidden="1">2</definedName>
    <definedName name="solver_typ" localSheetId="7" hidden="1">2</definedName>
    <definedName name="solver_val" localSheetId="13" hidden="1">0</definedName>
    <definedName name="solver_val" localSheetId="10" hidden="1">0</definedName>
    <definedName name="solver_val" localSheetId="12" hidden="1">0</definedName>
    <definedName name="solver_val" localSheetId="7" hidden="1">0</definedName>
    <definedName name="solver_ver" localSheetId="13" hidden="1">3</definedName>
    <definedName name="solver_ver" localSheetId="10" hidden="1">3</definedName>
    <definedName name="solver_ver" localSheetId="12" hidden="1">3</definedName>
    <definedName name="solver_ver" localSheetId="7"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38" l="1"/>
  <c r="F37" i="38"/>
  <c r="F36" i="38"/>
  <c r="F35" i="38"/>
  <c r="B29" i="38"/>
  <c r="L38" i="38" s="1"/>
  <c r="B28" i="38"/>
  <c r="L37" i="38" s="1"/>
  <c r="B27" i="38"/>
  <c r="L36" i="38" s="1"/>
  <c r="B26" i="38"/>
  <c r="L35" i="38" s="1"/>
  <c r="N63" i="37"/>
  <c r="M63" i="37"/>
  <c r="L63" i="37"/>
  <c r="K63" i="37"/>
  <c r="J63" i="37"/>
  <c r="I63" i="37"/>
  <c r="H63" i="37"/>
  <c r="G63" i="37"/>
  <c r="F63" i="37"/>
  <c r="E63" i="37"/>
  <c r="D63" i="37"/>
  <c r="C63" i="37"/>
  <c r="N55" i="37"/>
  <c r="M55" i="37"/>
  <c r="L55" i="37"/>
  <c r="K55" i="37"/>
  <c r="J55" i="37"/>
  <c r="I55" i="37"/>
  <c r="H55" i="37"/>
  <c r="G55" i="37"/>
  <c r="F55" i="37"/>
  <c r="E55" i="37"/>
  <c r="D55" i="37"/>
  <c r="C55" i="37"/>
  <c r="N49" i="37"/>
  <c r="M49" i="37"/>
  <c r="L49" i="37"/>
  <c r="K49" i="37"/>
  <c r="J49" i="37"/>
  <c r="I49" i="37"/>
  <c r="H49" i="37"/>
  <c r="G49" i="37"/>
  <c r="F49" i="37"/>
  <c r="E49" i="37"/>
  <c r="D49" i="37"/>
  <c r="C49" i="37"/>
  <c r="N42" i="37"/>
  <c r="M42" i="37"/>
  <c r="L42" i="37"/>
  <c r="K42" i="37"/>
  <c r="J42" i="37"/>
  <c r="I42" i="37"/>
  <c r="H42" i="37"/>
  <c r="G42" i="37"/>
  <c r="F42" i="37"/>
  <c r="E42" i="37"/>
  <c r="D42" i="37"/>
  <c r="C42" i="37"/>
  <c r="N33" i="37"/>
  <c r="M33" i="37"/>
  <c r="L33" i="37"/>
  <c r="K33" i="37"/>
  <c r="J33" i="37"/>
  <c r="I33" i="37"/>
  <c r="H33" i="37"/>
  <c r="G33" i="37"/>
  <c r="F33" i="37"/>
  <c r="E33" i="37"/>
  <c r="D33" i="37"/>
  <c r="C33" i="37"/>
  <c r="N27" i="37"/>
  <c r="M27" i="37"/>
  <c r="L27" i="37"/>
  <c r="K27" i="37"/>
  <c r="J27" i="37"/>
  <c r="I27" i="37"/>
  <c r="H27" i="37"/>
  <c r="G27" i="37"/>
  <c r="F27" i="37"/>
  <c r="E27" i="37"/>
  <c r="D27" i="37"/>
  <c r="C27" i="37"/>
  <c r="N18" i="37"/>
  <c r="M9" i="38" s="1"/>
  <c r="M18" i="37"/>
  <c r="L9" i="38" s="1"/>
  <c r="L18" i="37"/>
  <c r="K9" i="38" s="1"/>
  <c r="K18" i="37"/>
  <c r="J9" i="38" s="1"/>
  <c r="J18" i="37"/>
  <c r="I9" i="38" s="1"/>
  <c r="I18" i="37"/>
  <c r="H9" i="38" s="1"/>
  <c r="H18" i="37"/>
  <c r="G9" i="38" s="1"/>
  <c r="G18" i="37"/>
  <c r="F9" i="38" s="1"/>
  <c r="F18" i="37"/>
  <c r="E9" i="38" s="1"/>
  <c r="E18" i="37"/>
  <c r="D9" i="38" s="1"/>
  <c r="D18" i="37"/>
  <c r="C9" i="38" s="1"/>
  <c r="C18" i="37"/>
  <c r="B9" i="38" s="1"/>
  <c r="N63" i="32"/>
  <c r="M63" i="32"/>
  <c r="L63" i="32"/>
  <c r="K63" i="32"/>
  <c r="J63" i="32"/>
  <c r="I63" i="32"/>
  <c r="H63" i="32"/>
  <c r="G63" i="32"/>
  <c r="F63" i="32"/>
  <c r="E63" i="32"/>
  <c r="D63" i="32"/>
  <c r="C63" i="32"/>
  <c r="N55" i="32"/>
  <c r="M55" i="32"/>
  <c r="L55" i="32"/>
  <c r="K55" i="32"/>
  <c r="J55" i="32"/>
  <c r="I55" i="32"/>
  <c r="H55" i="32"/>
  <c r="G55" i="32"/>
  <c r="F55" i="32"/>
  <c r="E55" i="32"/>
  <c r="D55" i="32"/>
  <c r="C55" i="32"/>
  <c r="N49" i="32"/>
  <c r="M49" i="32"/>
  <c r="L49" i="32"/>
  <c r="K49" i="32"/>
  <c r="J49" i="32"/>
  <c r="I49" i="32"/>
  <c r="H49" i="32"/>
  <c r="G49" i="32"/>
  <c r="F49" i="32"/>
  <c r="E49" i="32"/>
  <c r="D49" i="32"/>
  <c r="C49" i="32"/>
  <c r="N42" i="32"/>
  <c r="M42" i="32"/>
  <c r="L42" i="32"/>
  <c r="K42" i="32"/>
  <c r="J42" i="32"/>
  <c r="I42" i="32"/>
  <c r="H42" i="32"/>
  <c r="G42" i="32"/>
  <c r="F42" i="32"/>
  <c r="E42" i="32"/>
  <c r="D42" i="32"/>
  <c r="C42" i="32"/>
  <c r="N33" i="32"/>
  <c r="M33" i="32"/>
  <c r="L33" i="32"/>
  <c r="K33" i="32"/>
  <c r="J33" i="32"/>
  <c r="I33" i="32"/>
  <c r="H33" i="32"/>
  <c r="G33" i="32"/>
  <c r="F33" i="32"/>
  <c r="E33" i="32"/>
  <c r="D33" i="32"/>
  <c r="C33" i="32"/>
  <c r="N27" i="32"/>
  <c r="M27" i="32"/>
  <c r="L27" i="32"/>
  <c r="K27" i="32"/>
  <c r="J27" i="32"/>
  <c r="I27" i="32"/>
  <c r="H27" i="32"/>
  <c r="G27" i="32"/>
  <c r="F27" i="32"/>
  <c r="E27" i="32"/>
  <c r="D27" i="32"/>
  <c r="C27" i="32"/>
  <c r="N18" i="32"/>
  <c r="M8" i="38" s="1"/>
  <c r="M18" i="32"/>
  <c r="L8" i="38" s="1"/>
  <c r="L18" i="32"/>
  <c r="K8" i="38" s="1"/>
  <c r="K18" i="32"/>
  <c r="J8" i="38" s="1"/>
  <c r="J18" i="32"/>
  <c r="I8" i="38" s="1"/>
  <c r="I18" i="32"/>
  <c r="H8" i="38" s="1"/>
  <c r="H18" i="32"/>
  <c r="G8" i="38" s="1"/>
  <c r="G18" i="32"/>
  <c r="F8" i="38" s="1"/>
  <c r="F18" i="32"/>
  <c r="E8" i="38" s="1"/>
  <c r="E18" i="32"/>
  <c r="D8" i="38" s="1"/>
  <c r="D18" i="32"/>
  <c r="C8" i="38" s="1"/>
  <c r="C18" i="32"/>
  <c r="B8" i="38" s="1"/>
  <c r="D27" i="24"/>
  <c r="E27" i="24"/>
  <c r="F27" i="24"/>
  <c r="G27" i="24"/>
  <c r="H27" i="24"/>
  <c r="I27" i="24"/>
  <c r="J27" i="24"/>
  <c r="K27" i="24"/>
  <c r="L27" i="24"/>
  <c r="M27" i="24"/>
  <c r="N27" i="24"/>
  <c r="C27" i="24"/>
  <c r="D18" i="24"/>
  <c r="C7" i="38" s="1"/>
  <c r="E18" i="24"/>
  <c r="D7" i="38" s="1"/>
  <c r="F18" i="24"/>
  <c r="E7" i="38" s="1"/>
  <c r="G18" i="24"/>
  <c r="F7" i="38" s="1"/>
  <c r="H18" i="24"/>
  <c r="G7" i="38" s="1"/>
  <c r="I18" i="24"/>
  <c r="H7" i="38" s="1"/>
  <c r="J18" i="24"/>
  <c r="I7" i="38" s="1"/>
  <c r="K18" i="24"/>
  <c r="J7" i="38" s="1"/>
  <c r="L18" i="24"/>
  <c r="K7" i="38" s="1"/>
  <c r="M18" i="24"/>
  <c r="L7" i="38" s="1"/>
  <c r="N18" i="24"/>
  <c r="M7" i="38" s="1"/>
  <c r="C18" i="24"/>
  <c r="B7" i="38" s="1"/>
  <c r="D27" i="7"/>
  <c r="E27" i="7"/>
  <c r="F27" i="7"/>
  <c r="G27" i="7"/>
  <c r="H27" i="7"/>
  <c r="I27" i="7"/>
  <c r="J27" i="7"/>
  <c r="K27" i="7"/>
  <c r="L27" i="7"/>
  <c r="M27" i="7"/>
  <c r="N27" i="7"/>
  <c r="C27" i="7"/>
  <c r="D18" i="7"/>
  <c r="C6" i="38" s="1"/>
  <c r="E18" i="7"/>
  <c r="D6" i="38" s="1"/>
  <c r="F18" i="7"/>
  <c r="E6" i="38" s="1"/>
  <c r="G18" i="7"/>
  <c r="F6" i="38" s="1"/>
  <c r="H18" i="7"/>
  <c r="G6" i="38" s="1"/>
  <c r="I18" i="7"/>
  <c r="H6" i="38" s="1"/>
  <c r="J18" i="7"/>
  <c r="I6" i="38" s="1"/>
  <c r="K18" i="7"/>
  <c r="J6" i="38" s="1"/>
  <c r="L18" i="7"/>
  <c r="K6" i="38" s="1"/>
  <c r="M18" i="7"/>
  <c r="L6" i="38" s="1"/>
  <c r="N18" i="7"/>
  <c r="M6" i="38" s="1"/>
  <c r="C18" i="7"/>
  <c r="B6" i="38" s="1"/>
  <c r="N63" i="24"/>
  <c r="M63" i="24"/>
  <c r="L63" i="24"/>
  <c r="K63" i="24"/>
  <c r="J63" i="24"/>
  <c r="I63" i="24"/>
  <c r="H63" i="24"/>
  <c r="G63" i="24"/>
  <c r="F63" i="24"/>
  <c r="E63" i="24"/>
  <c r="D63" i="24"/>
  <c r="C63" i="24"/>
  <c r="N55" i="24"/>
  <c r="M55" i="24"/>
  <c r="L55" i="24"/>
  <c r="K55" i="24"/>
  <c r="J55" i="24"/>
  <c r="I55" i="24"/>
  <c r="H55" i="24"/>
  <c r="G55" i="24"/>
  <c r="F55" i="24"/>
  <c r="E55" i="24"/>
  <c r="D55" i="24"/>
  <c r="C55" i="24"/>
  <c r="N49" i="24"/>
  <c r="M49" i="24"/>
  <c r="L49" i="24"/>
  <c r="K49" i="24"/>
  <c r="J49" i="24"/>
  <c r="I49" i="24"/>
  <c r="H49" i="24"/>
  <c r="G49" i="24"/>
  <c r="F49" i="24"/>
  <c r="E49" i="24"/>
  <c r="D49" i="24"/>
  <c r="C49" i="24"/>
  <c r="N42" i="24"/>
  <c r="M42" i="24"/>
  <c r="L42" i="24"/>
  <c r="K42" i="24"/>
  <c r="J42" i="24"/>
  <c r="I42" i="24"/>
  <c r="H42" i="24"/>
  <c r="G42" i="24"/>
  <c r="F42" i="24"/>
  <c r="E42" i="24"/>
  <c r="D42" i="24"/>
  <c r="C42" i="24"/>
  <c r="N33" i="24"/>
  <c r="M33" i="24"/>
  <c r="L33" i="24"/>
  <c r="K33" i="24"/>
  <c r="J33" i="24"/>
  <c r="I33" i="24"/>
  <c r="H33" i="24"/>
  <c r="G33" i="24"/>
  <c r="F33" i="24"/>
  <c r="E33" i="24"/>
  <c r="D33" i="24"/>
  <c r="C33" i="24"/>
  <c r="B15" i="8"/>
  <c r="F5" i="5"/>
  <c r="D7" i="19"/>
  <c r="E7" i="19" s="1"/>
  <c r="F7" i="19"/>
  <c r="G7" i="19"/>
  <c r="D8" i="19"/>
  <c r="E8" i="19" s="1"/>
  <c r="F8" i="19"/>
  <c r="G8" i="19"/>
  <c r="D9" i="19"/>
  <c r="E9" i="19" s="1"/>
  <c r="F9" i="19"/>
  <c r="G9" i="19"/>
  <c r="D10" i="19"/>
  <c r="E10" i="19" s="1"/>
  <c r="F10" i="19"/>
  <c r="G10" i="19"/>
  <c r="D11" i="19"/>
  <c r="E11" i="19" s="1"/>
  <c r="F11" i="19"/>
  <c r="G11" i="19"/>
  <c r="D12" i="19"/>
  <c r="E12" i="19" s="1"/>
  <c r="F12" i="19"/>
  <c r="G12" i="19"/>
  <c r="D13" i="19"/>
  <c r="E13" i="19" s="1"/>
  <c r="F13" i="19"/>
  <c r="G13" i="19"/>
  <c r="D14" i="19"/>
  <c r="E14" i="19" s="1"/>
  <c r="F14" i="19"/>
  <c r="G14" i="19"/>
  <c r="D15" i="19"/>
  <c r="E15" i="19" s="1"/>
  <c r="F15" i="19"/>
  <c r="G15" i="19"/>
  <c r="D16" i="19"/>
  <c r="E16" i="19" s="1"/>
  <c r="F16" i="19"/>
  <c r="G16" i="19"/>
  <c r="D17" i="19"/>
  <c r="E17" i="19" s="1"/>
  <c r="F17" i="19"/>
  <c r="G17" i="19"/>
  <c r="D18" i="19"/>
  <c r="E18" i="19" s="1"/>
  <c r="F18" i="19"/>
  <c r="G18" i="19"/>
  <c r="D19" i="19"/>
  <c r="E19" i="19" s="1"/>
  <c r="F19" i="19"/>
  <c r="G19" i="19"/>
  <c r="D20" i="19"/>
  <c r="E20" i="19" s="1"/>
  <c r="F20" i="19"/>
  <c r="G20" i="19"/>
  <c r="D21" i="19"/>
  <c r="E21" i="19" s="1"/>
  <c r="F21" i="19"/>
  <c r="G21" i="19"/>
  <c r="D22" i="19"/>
  <c r="E22" i="19" s="1"/>
  <c r="F22" i="19"/>
  <c r="G22" i="19"/>
  <c r="D23" i="19"/>
  <c r="E23" i="19" s="1"/>
  <c r="F23" i="19"/>
  <c r="G23" i="19"/>
  <c r="D24" i="19"/>
  <c r="E24" i="19" s="1"/>
  <c r="F24" i="19"/>
  <c r="G24" i="19"/>
  <c r="D25" i="19"/>
  <c r="E25" i="19" s="1"/>
  <c r="F25" i="19"/>
  <c r="G25" i="19"/>
  <c r="D26" i="19"/>
  <c r="E26" i="19" s="1"/>
  <c r="F26" i="19"/>
  <c r="G26" i="19"/>
  <c r="D27" i="19"/>
  <c r="E27" i="19" s="1"/>
  <c r="F27" i="19"/>
  <c r="G27" i="19"/>
  <c r="D28" i="19"/>
  <c r="E28" i="19" s="1"/>
  <c r="F28" i="19"/>
  <c r="G28" i="19"/>
  <c r="D29" i="19"/>
  <c r="E29" i="19" s="1"/>
  <c r="F29" i="19"/>
  <c r="G29" i="19"/>
  <c r="D30" i="19"/>
  <c r="E30" i="19" s="1"/>
  <c r="F30" i="19"/>
  <c r="G30" i="19"/>
  <c r="D31" i="19"/>
  <c r="E31" i="19" s="1"/>
  <c r="F31" i="19"/>
  <c r="G31" i="19"/>
  <c r="D32" i="19"/>
  <c r="E32" i="19" s="1"/>
  <c r="F32" i="19"/>
  <c r="G32" i="19"/>
  <c r="D33" i="19"/>
  <c r="E33" i="19" s="1"/>
  <c r="F33" i="19"/>
  <c r="G33" i="19"/>
  <c r="D34" i="19"/>
  <c r="E34" i="19" s="1"/>
  <c r="F34" i="19"/>
  <c r="G34" i="19"/>
  <c r="D35" i="19"/>
  <c r="E35" i="19" s="1"/>
  <c r="F35" i="19"/>
  <c r="G35" i="19"/>
  <c r="D36" i="19"/>
  <c r="E36" i="19" s="1"/>
  <c r="F36" i="19"/>
  <c r="G36" i="19"/>
  <c r="D37" i="19"/>
  <c r="E37" i="19" s="1"/>
  <c r="F37" i="19"/>
  <c r="G37" i="19"/>
  <c r="D38" i="19"/>
  <c r="E38" i="19"/>
  <c r="F38" i="19"/>
  <c r="G38" i="19"/>
  <c r="D39" i="19"/>
  <c r="E39" i="19" s="1"/>
  <c r="F39" i="19"/>
  <c r="G39" i="19"/>
  <c r="D40" i="19"/>
  <c r="E40" i="19" s="1"/>
  <c r="F40" i="19"/>
  <c r="G40" i="19"/>
  <c r="D41" i="19"/>
  <c r="E41" i="19" s="1"/>
  <c r="F41" i="19"/>
  <c r="G41" i="19"/>
  <c r="D42" i="19"/>
  <c r="E42" i="19" s="1"/>
  <c r="F42" i="19"/>
  <c r="G42" i="19"/>
  <c r="D43" i="19"/>
  <c r="E43" i="19" s="1"/>
  <c r="F43" i="19"/>
  <c r="G43" i="19"/>
  <c r="D44" i="19"/>
  <c r="E44" i="19" s="1"/>
  <c r="F44" i="19"/>
  <c r="G44" i="19"/>
  <c r="D45" i="19"/>
  <c r="E45" i="19" s="1"/>
  <c r="F45" i="19"/>
  <c r="G45" i="19"/>
  <c r="D46" i="19"/>
  <c r="E46" i="19" s="1"/>
  <c r="F46" i="19"/>
  <c r="G46" i="19"/>
  <c r="D47" i="19"/>
  <c r="E47" i="19" s="1"/>
  <c r="F47" i="19"/>
  <c r="G47" i="19"/>
  <c r="D48" i="19"/>
  <c r="E48" i="19" s="1"/>
  <c r="F48" i="19"/>
  <c r="G48" i="19"/>
  <c r="D49" i="19"/>
  <c r="E49" i="19" s="1"/>
  <c r="F49" i="19"/>
  <c r="G49" i="19"/>
  <c r="D50" i="19"/>
  <c r="E50" i="19" s="1"/>
  <c r="F50" i="19"/>
  <c r="G50" i="19"/>
  <c r="D51" i="19"/>
  <c r="E51" i="19" s="1"/>
  <c r="F51" i="19"/>
  <c r="G51" i="19"/>
  <c r="D52" i="19"/>
  <c r="E52" i="19" s="1"/>
  <c r="F52" i="19"/>
  <c r="G52" i="19"/>
  <c r="D53" i="19"/>
  <c r="E53" i="19" s="1"/>
  <c r="F53" i="19"/>
  <c r="G53" i="19"/>
  <c r="D54" i="19"/>
  <c r="E54" i="19" s="1"/>
  <c r="F54" i="19"/>
  <c r="G54" i="19"/>
  <c r="D55" i="19"/>
  <c r="E55" i="19" s="1"/>
  <c r="F55" i="19"/>
  <c r="G55" i="19"/>
  <c r="D56" i="19"/>
  <c r="E56" i="19" s="1"/>
  <c r="F56" i="19"/>
  <c r="G56" i="19"/>
  <c r="D57" i="19"/>
  <c r="E57" i="19" s="1"/>
  <c r="F57" i="19"/>
  <c r="G57" i="19"/>
  <c r="D58" i="19"/>
  <c r="E58" i="19" s="1"/>
  <c r="F58" i="19"/>
  <c r="G58" i="19"/>
  <c r="D59" i="19"/>
  <c r="E59" i="19" s="1"/>
  <c r="F59" i="19"/>
  <c r="G59" i="19"/>
  <c r="D60" i="19"/>
  <c r="E60" i="19" s="1"/>
  <c r="F60" i="19"/>
  <c r="G60" i="19"/>
  <c r="D61" i="19"/>
  <c r="E61" i="19" s="1"/>
  <c r="F61" i="19"/>
  <c r="G61" i="19"/>
  <c r="D62" i="19"/>
  <c r="E62" i="19" s="1"/>
  <c r="F62" i="19"/>
  <c r="G62" i="19"/>
  <c r="D63" i="19"/>
  <c r="E63" i="19" s="1"/>
  <c r="F63" i="19"/>
  <c r="G63" i="19"/>
  <c r="D64" i="19"/>
  <c r="E64" i="19" s="1"/>
  <c r="F64" i="19"/>
  <c r="G64" i="19"/>
  <c r="D65" i="19"/>
  <c r="E65" i="19" s="1"/>
  <c r="F65" i="19"/>
  <c r="G65" i="19"/>
  <c r="D66" i="19"/>
  <c r="E66" i="19" s="1"/>
  <c r="F66" i="19"/>
  <c r="G66" i="19"/>
  <c r="D67" i="19"/>
  <c r="E67" i="19" s="1"/>
  <c r="F67" i="19"/>
  <c r="G67" i="19"/>
  <c r="D68" i="19"/>
  <c r="E68" i="19" s="1"/>
  <c r="F68" i="19"/>
  <c r="G68" i="19"/>
  <c r="D69" i="19"/>
  <c r="E69" i="19" s="1"/>
  <c r="F69" i="19"/>
  <c r="G69" i="19"/>
  <c r="D70" i="19"/>
  <c r="E70" i="19" s="1"/>
  <c r="F70" i="19"/>
  <c r="G70" i="19"/>
  <c r="D71" i="19"/>
  <c r="E71" i="19" s="1"/>
  <c r="F71" i="19"/>
  <c r="G71" i="19"/>
  <c r="D72" i="19"/>
  <c r="E72" i="19" s="1"/>
  <c r="F72" i="19"/>
  <c r="G72" i="19"/>
  <c r="D73" i="19"/>
  <c r="E73" i="19" s="1"/>
  <c r="F73" i="19"/>
  <c r="G73" i="19"/>
  <c r="D74" i="19"/>
  <c r="E74" i="19" s="1"/>
  <c r="F74" i="19"/>
  <c r="G74" i="19"/>
  <c r="D75" i="19"/>
  <c r="E75" i="19" s="1"/>
  <c r="F75" i="19"/>
  <c r="G75" i="19"/>
  <c r="D76" i="19"/>
  <c r="E76" i="19" s="1"/>
  <c r="F76" i="19"/>
  <c r="G76" i="19"/>
  <c r="D77" i="19"/>
  <c r="E77" i="19" s="1"/>
  <c r="F77" i="19"/>
  <c r="G77" i="19"/>
  <c r="D78" i="19"/>
  <c r="E78" i="19" s="1"/>
  <c r="F78" i="19"/>
  <c r="G78" i="19"/>
  <c r="D79" i="19"/>
  <c r="E79" i="19" s="1"/>
  <c r="F79" i="19"/>
  <c r="G79" i="19"/>
  <c r="D80" i="19"/>
  <c r="E80" i="19" s="1"/>
  <c r="F80" i="19"/>
  <c r="G80" i="19"/>
  <c r="D81" i="19"/>
  <c r="E81" i="19" s="1"/>
  <c r="F81" i="19"/>
  <c r="G81" i="19"/>
  <c r="D82" i="19"/>
  <c r="E82" i="19" s="1"/>
  <c r="F82" i="19"/>
  <c r="G82" i="19"/>
  <c r="D83" i="19"/>
  <c r="E83" i="19" s="1"/>
  <c r="F83" i="19"/>
  <c r="G83" i="19"/>
  <c r="D84" i="19"/>
  <c r="E84" i="19" s="1"/>
  <c r="F84" i="19"/>
  <c r="G84" i="19"/>
  <c r="D85" i="19"/>
  <c r="E85" i="19" s="1"/>
  <c r="F85" i="19"/>
  <c r="G85" i="19"/>
  <c r="D86" i="19"/>
  <c r="E86" i="19" s="1"/>
  <c r="F86" i="19"/>
  <c r="G86" i="19"/>
  <c r="D87" i="19"/>
  <c r="E87" i="19" s="1"/>
  <c r="F87" i="19"/>
  <c r="G87" i="19"/>
  <c r="D88" i="19"/>
  <c r="E88" i="19" s="1"/>
  <c r="F88" i="19"/>
  <c r="G88" i="19"/>
  <c r="D89" i="19"/>
  <c r="E89" i="19" s="1"/>
  <c r="F89" i="19"/>
  <c r="G89" i="19"/>
  <c r="D90" i="19"/>
  <c r="E90" i="19" s="1"/>
  <c r="F90" i="19"/>
  <c r="G90" i="19"/>
  <c r="D91" i="19"/>
  <c r="E91" i="19" s="1"/>
  <c r="F91" i="19"/>
  <c r="G91" i="19"/>
  <c r="D92" i="19"/>
  <c r="E92" i="19" s="1"/>
  <c r="F92" i="19"/>
  <c r="G92" i="19"/>
  <c r="D93" i="19"/>
  <c r="E93" i="19" s="1"/>
  <c r="F93" i="19"/>
  <c r="G93" i="19"/>
  <c r="D94" i="19"/>
  <c r="E94" i="19" s="1"/>
  <c r="F94" i="19"/>
  <c r="G94" i="19"/>
  <c r="D95" i="19"/>
  <c r="E95" i="19" s="1"/>
  <c r="F95" i="19"/>
  <c r="G95" i="19"/>
  <c r="D96" i="19"/>
  <c r="E96" i="19" s="1"/>
  <c r="F96" i="19"/>
  <c r="G96" i="19"/>
  <c r="D97" i="19"/>
  <c r="E97" i="19" s="1"/>
  <c r="F97" i="19"/>
  <c r="G97" i="19"/>
  <c r="D98" i="19"/>
  <c r="E98" i="19" s="1"/>
  <c r="F98" i="19"/>
  <c r="G98" i="19"/>
  <c r="D99" i="19"/>
  <c r="E99" i="19" s="1"/>
  <c r="F99" i="19"/>
  <c r="G99" i="19"/>
  <c r="D100" i="19"/>
  <c r="E100" i="19" s="1"/>
  <c r="F100" i="19"/>
  <c r="G100" i="19"/>
  <c r="D101" i="19"/>
  <c r="E101" i="19" s="1"/>
  <c r="F101" i="19"/>
  <c r="G101" i="19"/>
  <c r="D102" i="19"/>
  <c r="E102" i="19" s="1"/>
  <c r="F102" i="19"/>
  <c r="G102" i="19"/>
  <c r="B112" i="19"/>
  <c r="C112" i="19" s="1"/>
  <c r="B113" i="19"/>
  <c r="C113" i="19" s="1"/>
  <c r="D113" i="19" s="1"/>
  <c r="B114" i="19"/>
  <c r="C114" i="19" s="1"/>
  <c r="B115" i="19"/>
  <c r="C115" i="19" s="1"/>
  <c r="D115" i="19" s="1"/>
  <c r="F115" i="19" s="1"/>
  <c r="B116" i="19"/>
  <c r="C116" i="19" s="1"/>
  <c r="D116" i="19" s="1"/>
  <c r="B117" i="19"/>
  <c r="C117" i="19" s="1"/>
  <c r="B118" i="19"/>
  <c r="C118" i="19" s="1"/>
  <c r="D118" i="19" s="1"/>
  <c r="F118" i="19" s="1"/>
  <c r="B119" i="19"/>
  <c r="C119" i="19" s="1"/>
  <c r="B120" i="19"/>
  <c r="C120" i="19" s="1"/>
  <c r="B121" i="19"/>
  <c r="C121" i="19" s="1"/>
  <c r="D121" i="19" s="1"/>
  <c r="B122" i="19"/>
  <c r="C122" i="19" s="1"/>
  <c r="D122" i="19" s="1"/>
  <c r="B123" i="19"/>
  <c r="C123" i="19" s="1"/>
  <c r="D123" i="19" s="1"/>
  <c r="C20" i="37" l="1"/>
  <c r="C20" i="32"/>
  <c r="C20" i="24"/>
  <c r="H89" i="19"/>
  <c r="I89" i="19" s="1"/>
  <c r="J89" i="19" s="1"/>
  <c r="L89" i="19" s="1"/>
  <c r="H27" i="19"/>
  <c r="I27" i="19" s="1"/>
  <c r="J27" i="19" s="1"/>
  <c r="L27" i="19" s="1"/>
  <c r="H100" i="19"/>
  <c r="E121" i="19" s="1"/>
  <c r="H92" i="19"/>
  <c r="E113" i="19" s="1"/>
  <c r="H84" i="19"/>
  <c r="I84" i="19" s="1"/>
  <c r="J84" i="19" s="1"/>
  <c r="L84" i="19" s="1"/>
  <c r="H80" i="19"/>
  <c r="I80" i="19" s="1"/>
  <c r="J80" i="19" s="1"/>
  <c r="L80" i="19" s="1"/>
  <c r="H18" i="19"/>
  <c r="I18" i="19" s="1"/>
  <c r="J18" i="19" s="1"/>
  <c r="L18" i="19" s="1"/>
  <c r="H91" i="19"/>
  <c r="E112" i="19" s="1"/>
  <c r="H29" i="19"/>
  <c r="I29" i="19" s="1"/>
  <c r="J29" i="19" s="1"/>
  <c r="L29" i="19" s="1"/>
  <c r="H63" i="19"/>
  <c r="I63" i="19" s="1"/>
  <c r="J63" i="19" s="1"/>
  <c r="L63" i="19" s="1"/>
  <c r="H40" i="19"/>
  <c r="I40" i="19" s="1"/>
  <c r="J40" i="19" s="1"/>
  <c r="L40" i="19" s="1"/>
  <c r="H86" i="19"/>
  <c r="I86" i="19" s="1"/>
  <c r="J86" i="19" s="1"/>
  <c r="L86" i="19" s="1"/>
  <c r="H82" i="19"/>
  <c r="I82" i="19" s="1"/>
  <c r="J82" i="19" s="1"/>
  <c r="L82" i="19" s="1"/>
  <c r="H99" i="19"/>
  <c r="E120" i="19" s="1"/>
  <c r="H74" i="19"/>
  <c r="I74" i="19" s="1"/>
  <c r="J74" i="19" s="1"/>
  <c r="L74" i="19" s="1"/>
  <c r="H97" i="19"/>
  <c r="E118" i="19" s="1"/>
  <c r="G118" i="19" s="1"/>
  <c r="H62" i="19"/>
  <c r="I62" i="19" s="1"/>
  <c r="J62" i="19" s="1"/>
  <c r="L62" i="19" s="1"/>
  <c r="H77" i="19"/>
  <c r="I77" i="19" s="1"/>
  <c r="J77" i="19" s="1"/>
  <c r="L77" i="19" s="1"/>
  <c r="H73" i="19"/>
  <c r="I73" i="19" s="1"/>
  <c r="J73" i="19" s="1"/>
  <c r="L73" i="19" s="1"/>
  <c r="H101" i="19"/>
  <c r="E122" i="19" s="1"/>
  <c r="H75" i="19"/>
  <c r="I75" i="19" s="1"/>
  <c r="J75" i="19" s="1"/>
  <c r="L75" i="19" s="1"/>
  <c r="H64" i="19"/>
  <c r="I64" i="19" s="1"/>
  <c r="J64" i="19" s="1"/>
  <c r="L64" i="19" s="1"/>
  <c r="H98" i="19"/>
  <c r="E119" i="19" s="1"/>
  <c r="H61" i="19"/>
  <c r="I61" i="19" s="1"/>
  <c r="J61" i="19" s="1"/>
  <c r="L61" i="19" s="1"/>
  <c r="H93" i="19"/>
  <c r="E114" i="19" s="1"/>
  <c r="H78" i="19"/>
  <c r="I78" i="19" s="1"/>
  <c r="J78" i="19" s="1"/>
  <c r="L78" i="19" s="1"/>
  <c r="F122" i="19"/>
  <c r="G122" i="19" s="1"/>
  <c r="F113" i="19"/>
  <c r="G113" i="19" s="1"/>
  <c r="H96" i="19"/>
  <c r="E117" i="19" s="1"/>
  <c r="H70" i="19"/>
  <c r="I70" i="19" s="1"/>
  <c r="J70" i="19" s="1"/>
  <c r="L70" i="19" s="1"/>
  <c r="H59" i="19"/>
  <c r="I59" i="19" s="1"/>
  <c r="J59" i="19" s="1"/>
  <c r="L59" i="19" s="1"/>
  <c r="H55" i="19"/>
  <c r="I55" i="19" s="1"/>
  <c r="J55" i="19" s="1"/>
  <c r="L55" i="19" s="1"/>
  <c r="H36" i="19"/>
  <c r="I36" i="19" s="1"/>
  <c r="J36" i="19" s="1"/>
  <c r="L36" i="19" s="1"/>
  <c r="H32" i="19"/>
  <c r="I32" i="19" s="1"/>
  <c r="J32" i="19" s="1"/>
  <c r="L32" i="19" s="1"/>
  <c r="H88" i="19"/>
  <c r="I88" i="19" s="1"/>
  <c r="J88" i="19" s="1"/>
  <c r="L88" i="19" s="1"/>
  <c r="H8" i="19"/>
  <c r="I8" i="19" s="1"/>
  <c r="J8" i="19" s="1"/>
  <c r="L8" i="19" s="1"/>
  <c r="H83" i="19"/>
  <c r="I83" i="19" s="1"/>
  <c r="J83" i="19" s="1"/>
  <c r="L83" i="19" s="1"/>
  <c r="H57" i="19"/>
  <c r="I57" i="19" s="1"/>
  <c r="J57" i="19" s="1"/>
  <c r="L57" i="19" s="1"/>
  <c r="H94" i="19"/>
  <c r="E115" i="19" s="1"/>
  <c r="G115" i="19" s="1"/>
  <c r="H68" i="19"/>
  <c r="I68" i="19" s="1"/>
  <c r="J68" i="19" s="1"/>
  <c r="L68" i="19" s="1"/>
  <c r="H79" i="19"/>
  <c r="I79" i="19" s="1"/>
  <c r="J79" i="19" s="1"/>
  <c r="L79" i="19" s="1"/>
  <c r="H49" i="19"/>
  <c r="I49" i="19" s="1"/>
  <c r="J49" i="19" s="1"/>
  <c r="L49" i="19" s="1"/>
  <c r="H41" i="19"/>
  <c r="I41" i="19" s="1"/>
  <c r="J41" i="19" s="1"/>
  <c r="L41" i="19" s="1"/>
  <c r="H34" i="19"/>
  <c r="I34" i="19" s="1"/>
  <c r="J34" i="19" s="1"/>
  <c r="L34" i="19" s="1"/>
  <c r="H19" i="19"/>
  <c r="I19" i="19" s="1"/>
  <c r="J19" i="19" s="1"/>
  <c r="L19" i="19" s="1"/>
  <c r="H11" i="19"/>
  <c r="I11" i="19" s="1"/>
  <c r="J11" i="19" s="1"/>
  <c r="L11" i="19" s="1"/>
  <c r="H7" i="19"/>
  <c r="I7" i="19" s="1"/>
  <c r="J7" i="19" s="1"/>
  <c r="L7" i="19" s="1"/>
  <c r="D117" i="19"/>
  <c r="F117" i="19" s="1"/>
  <c r="G117" i="19" s="1"/>
  <c r="H81" i="19"/>
  <c r="I81" i="19" s="1"/>
  <c r="J81" i="19" s="1"/>
  <c r="L81" i="19" s="1"/>
  <c r="H42" i="19"/>
  <c r="I42" i="19" s="1"/>
  <c r="J42" i="19" s="1"/>
  <c r="L42" i="19" s="1"/>
  <c r="H28" i="19"/>
  <c r="I28" i="19" s="1"/>
  <c r="J28" i="19" s="1"/>
  <c r="L28" i="19" s="1"/>
  <c r="H21" i="19"/>
  <c r="I21" i="19" s="1"/>
  <c r="J21" i="19" s="1"/>
  <c r="L21" i="19" s="1"/>
  <c r="H87" i="19"/>
  <c r="I87" i="19" s="1"/>
  <c r="J87" i="19" s="1"/>
  <c r="L87" i="19" s="1"/>
  <c r="H52" i="19"/>
  <c r="I52" i="19" s="1"/>
  <c r="J52" i="19" s="1"/>
  <c r="L52" i="19" s="1"/>
  <c r="H31" i="19"/>
  <c r="I31" i="19" s="1"/>
  <c r="J31" i="19" s="1"/>
  <c r="L31" i="19" s="1"/>
  <c r="H66" i="19"/>
  <c r="I66" i="19" s="1"/>
  <c r="J66" i="19" s="1"/>
  <c r="L66" i="19" s="1"/>
  <c r="H45" i="19"/>
  <c r="I45" i="19" s="1"/>
  <c r="J45" i="19" s="1"/>
  <c r="L45" i="19" s="1"/>
  <c r="H24" i="19"/>
  <c r="I24" i="19" s="1"/>
  <c r="J24" i="19" s="1"/>
  <c r="L24" i="19" s="1"/>
  <c r="H10" i="19"/>
  <c r="I10" i="19" s="1"/>
  <c r="J10" i="19" s="1"/>
  <c r="L10" i="19" s="1"/>
  <c r="H69" i="19"/>
  <c r="I69" i="19" s="1"/>
  <c r="J69" i="19" s="1"/>
  <c r="L69" i="19" s="1"/>
  <c r="H48" i="19"/>
  <c r="I48" i="19" s="1"/>
  <c r="J48" i="19" s="1"/>
  <c r="L48" i="19" s="1"/>
  <c r="H13" i="19"/>
  <c r="I13" i="19" s="1"/>
  <c r="J13" i="19" s="1"/>
  <c r="L13" i="19" s="1"/>
  <c r="H76" i="19"/>
  <c r="I76" i="19" s="1"/>
  <c r="J76" i="19" s="1"/>
  <c r="L76" i="19" s="1"/>
  <c r="H65" i="19"/>
  <c r="I65" i="19" s="1"/>
  <c r="J65" i="19" s="1"/>
  <c r="L65" i="19" s="1"/>
  <c r="H58" i="19"/>
  <c r="I58" i="19" s="1"/>
  <c r="J58" i="19" s="1"/>
  <c r="L58" i="19" s="1"/>
  <c r="H51" i="19"/>
  <c r="I51" i="19" s="1"/>
  <c r="J51" i="19" s="1"/>
  <c r="L51" i="19" s="1"/>
  <c r="H37" i="19"/>
  <c r="I37" i="19" s="1"/>
  <c r="J37" i="19" s="1"/>
  <c r="L37" i="19" s="1"/>
  <c r="H30" i="19"/>
  <c r="I30" i="19" s="1"/>
  <c r="J30" i="19" s="1"/>
  <c r="L30" i="19" s="1"/>
  <c r="H23" i="19"/>
  <c r="I23" i="19" s="1"/>
  <c r="J23" i="19" s="1"/>
  <c r="L23" i="19" s="1"/>
  <c r="H9" i="19"/>
  <c r="I9" i="19" s="1"/>
  <c r="J9" i="19" s="1"/>
  <c r="L9" i="19" s="1"/>
  <c r="F123" i="19"/>
  <c r="H90" i="19"/>
  <c r="I90" i="19" s="1"/>
  <c r="J90" i="19" s="1"/>
  <c r="L90" i="19" s="1"/>
  <c r="H72" i="19"/>
  <c r="I72" i="19" s="1"/>
  <c r="J72" i="19" s="1"/>
  <c r="L72" i="19" s="1"/>
  <c r="H54" i="19"/>
  <c r="I54" i="19" s="1"/>
  <c r="J54" i="19" s="1"/>
  <c r="L54" i="19" s="1"/>
  <c r="H33" i="19"/>
  <c r="I33" i="19" s="1"/>
  <c r="J33" i="19" s="1"/>
  <c r="L33" i="19" s="1"/>
  <c r="H16" i="19"/>
  <c r="I16" i="19" s="1"/>
  <c r="J16" i="19" s="1"/>
  <c r="L16" i="19" s="1"/>
  <c r="H12" i="19"/>
  <c r="I12" i="19" s="1"/>
  <c r="J12" i="19" s="1"/>
  <c r="L12" i="19" s="1"/>
  <c r="H71" i="19"/>
  <c r="I71" i="19" s="1"/>
  <c r="J71" i="19" s="1"/>
  <c r="L71" i="19" s="1"/>
  <c r="H43" i="19"/>
  <c r="I43" i="19" s="1"/>
  <c r="J43" i="19" s="1"/>
  <c r="L43" i="19" s="1"/>
  <c r="H22" i="19"/>
  <c r="I22" i="19" s="1"/>
  <c r="J22" i="19" s="1"/>
  <c r="L22" i="19" s="1"/>
  <c r="H15" i="19"/>
  <c r="I15" i="19" s="1"/>
  <c r="J15" i="19" s="1"/>
  <c r="L15" i="19" s="1"/>
  <c r="H60" i="19"/>
  <c r="I60" i="19" s="1"/>
  <c r="J60" i="19" s="1"/>
  <c r="L60" i="19" s="1"/>
  <c r="H39" i="19"/>
  <c r="I39" i="19" s="1"/>
  <c r="J39" i="19" s="1"/>
  <c r="L39" i="19" s="1"/>
  <c r="H25" i="19"/>
  <c r="I25" i="19" s="1"/>
  <c r="J25" i="19" s="1"/>
  <c r="L25" i="19" s="1"/>
  <c r="H85" i="19"/>
  <c r="I85" i="19" s="1"/>
  <c r="J85" i="19" s="1"/>
  <c r="L85" i="19" s="1"/>
  <c r="H67" i="19"/>
  <c r="I67" i="19" s="1"/>
  <c r="J67" i="19" s="1"/>
  <c r="L67" i="19" s="1"/>
  <c r="H46" i="19"/>
  <c r="I46" i="19" s="1"/>
  <c r="J46" i="19" s="1"/>
  <c r="L46" i="19" s="1"/>
  <c r="D119" i="19"/>
  <c r="F119" i="19" s="1"/>
  <c r="G119" i="19" s="1"/>
  <c r="H56" i="19"/>
  <c r="I56" i="19" s="1"/>
  <c r="J56" i="19" s="1"/>
  <c r="L56" i="19" s="1"/>
  <c r="H17" i="19"/>
  <c r="I17" i="19" s="1"/>
  <c r="J17" i="19" s="1"/>
  <c r="L17" i="19" s="1"/>
  <c r="H20" i="19"/>
  <c r="I20" i="19" s="1"/>
  <c r="J20" i="19" s="1"/>
  <c r="L20" i="19" s="1"/>
  <c r="D114" i="19"/>
  <c r="F114" i="19" s="1"/>
  <c r="G114" i="19" s="1"/>
  <c r="H26" i="19"/>
  <c r="I26" i="19" s="1"/>
  <c r="J26" i="19" s="1"/>
  <c r="L26" i="19" s="1"/>
  <c r="H35" i="19"/>
  <c r="I35" i="19" s="1"/>
  <c r="J35" i="19" s="1"/>
  <c r="L35" i="19" s="1"/>
  <c r="D112" i="19"/>
  <c r="F112" i="19" s="1"/>
  <c r="H38" i="19"/>
  <c r="I38" i="19" s="1"/>
  <c r="J38" i="19" s="1"/>
  <c r="L38" i="19" s="1"/>
  <c r="F121" i="19"/>
  <c r="G121" i="19" s="1"/>
  <c r="H44" i="19"/>
  <c r="I44" i="19" s="1"/>
  <c r="J44" i="19" s="1"/>
  <c r="L44" i="19" s="1"/>
  <c r="F116" i="19"/>
  <c r="H102" i="19"/>
  <c r="E123" i="19" s="1"/>
  <c r="H50" i="19"/>
  <c r="I50" i="19" s="1"/>
  <c r="J50" i="19" s="1"/>
  <c r="L50" i="19" s="1"/>
  <c r="H47" i="19"/>
  <c r="I47" i="19" s="1"/>
  <c r="J47" i="19" s="1"/>
  <c r="L47" i="19" s="1"/>
  <c r="D120" i="19"/>
  <c r="F120" i="19" s="1"/>
  <c r="G120" i="19" s="1"/>
  <c r="H95" i="19"/>
  <c r="E116" i="19" s="1"/>
  <c r="H53" i="19"/>
  <c r="I53" i="19" s="1"/>
  <c r="J53" i="19" s="1"/>
  <c r="L53" i="19" s="1"/>
  <c r="H14" i="19"/>
  <c r="I14" i="19" s="1"/>
  <c r="J14" i="19" s="1"/>
  <c r="L14" i="19" s="1"/>
  <c r="G116" i="19" l="1"/>
  <c r="F126" i="19"/>
  <c r="G112" i="19"/>
  <c r="G123" i="19"/>
  <c r="E126" i="19"/>
  <c r="B36" i="38"/>
  <c r="B16" i="38"/>
  <c r="H36" i="38" s="1"/>
  <c r="B37" i="38"/>
  <c r="B17" i="38"/>
  <c r="H37" i="38" s="1"/>
  <c r="B38" i="38"/>
  <c r="B18" i="38"/>
  <c r="H38" i="38" s="1"/>
  <c r="R9" i="19"/>
  <c r="R10" i="19"/>
  <c r="G126" i="19" l="1"/>
  <c r="D63" i="7"/>
  <c r="E63" i="7"/>
  <c r="F63" i="7"/>
  <c r="G63" i="7"/>
  <c r="H63" i="7"/>
  <c r="I63" i="7"/>
  <c r="J63" i="7"/>
  <c r="K63" i="7"/>
  <c r="L63" i="7"/>
  <c r="M63" i="7"/>
  <c r="N63" i="7"/>
  <c r="C63" i="7"/>
  <c r="D55" i="7"/>
  <c r="E55" i="7"/>
  <c r="F55" i="7"/>
  <c r="G55" i="7"/>
  <c r="H55" i="7"/>
  <c r="I55" i="7"/>
  <c r="J55" i="7"/>
  <c r="K55" i="7"/>
  <c r="L55" i="7"/>
  <c r="M55" i="7"/>
  <c r="N55" i="7"/>
  <c r="C55" i="7"/>
  <c r="D49" i="7"/>
  <c r="E49" i="7"/>
  <c r="F49" i="7"/>
  <c r="G49" i="7"/>
  <c r="H49" i="7"/>
  <c r="I49" i="7"/>
  <c r="J49" i="7"/>
  <c r="K49" i="7"/>
  <c r="L49" i="7"/>
  <c r="M49" i="7"/>
  <c r="N49" i="7"/>
  <c r="C49" i="7"/>
  <c r="D42" i="7"/>
  <c r="E42" i="7"/>
  <c r="F42" i="7"/>
  <c r="G42" i="7"/>
  <c r="H42" i="7"/>
  <c r="I42" i="7"/>
  <c r="J42" i="7"/>
  <c r="K42" i="7"/>
  <c r="L42" i="7"/>
  <c r="M42" i="7"/>
  <c r="N42" i="7"/>
  <c r="C42" i="7"/>
  <c r="D33" i="7"/>
  <c r="E33" i="7"/>
  <c r="F33" i="7"/>
  <c r="G33" i="7"/>
  <c r="H33" i="7"/>
  <c r="I33" i="7"/>
  <c r="J33" i="7"/>
  <c r="K33" i="7"/>
  <c r="L33" i="7"/>
  <c r="M33" i="7"/>
  <c r="N33" i="7"/>
  <c r="C33" i="7"/>
  <c r="C20" i="7" l="1"/>
  <c r="D13" i="9"/>
  <c r="E13" i="9"/>
  <c r="F13" i="9"/>
  <c r="G13" i="9"/>
  <c r="H13" i="9"/>
  <c r="I13" i="9"/>
  <c r="J13" i="9"/>
  <c r="K13" i="9"/>
  <c r="L13" i="9"/>
  <c r="M13" i="9"/>
  <c r="N13" i="9"/>
  <c r="C13" i="9"/>
  <c r="D12" i="9"/>
  <c r="D14" i="9" s="1"/>
  <c r="D15" i="9" s="1"/>
  <c r="E12" i="9"/>
  <c r="E14" i="9" s="1"/>
  <c r="E15" i="9" s="1"/>
  <c r="F12" i="9"/>
  <c r="F14" i="9" s="1"/>
  <c r="F15" i="9" s="1"/>
  <c r="G12" i="9"/>
  <c r="G14" i="9" s="1"/>
  <c r="G15" i="9" s="1"/>
  <c r="H12" i="9"/>
  <c r="H14" i="9" s="1"/>
  <c r="H15" i="9" s="1"/>
  <c r="I12" i="9"/>
  <c r="I14" i="9" s="1"/>
  <c r="I15" i="9" s="1"/>
  <c r="J12" i="9"/>
  <c r="J14" i="9" s="1"/>
  <c r="J15" i="9" s="1"/>
  <c r="K12" i="9"/>
  <c r="K14" i="9" s="1"/>
  <c r="K15" i="9" s="1"/>
  <c r="L12" i="9"/>
  <c r="L14" i="9" s="1"/>
  <c r="L15" i="9" s="1"/>
  <c r="M12" i="9"/>
  <c r="M14" i="9" s="1"/>
  <c r="M15" i="9" s="1"/>
  <c r="N12" i="9"/>
  <c r="N14" i="9" s="1"/>
  <c r="N15" i="9" s="1"/>
  <c r="C12" i="9"/>
  <c r="C14" i="9" s="1"/>
  <c r="C15" i="9" s="1"/>
  <c r="D11" i="9"/>
  <c r="D16" i="9" s="1"/>
  <c r="E11" i="9"/>
  <c r="E16" i="9" s="1"/>
  <c r="F11" i="9"/>
  <c r="F16" i="9" s="1"/>
  <c r="G11" i="9"/>
  <c r="G16" i="9" s="1"/>
  <c r="H11" i="9"/>
  <c r="H16" i="9" s="1"/>
  <c r="I11" i="9"/>
  <c r="I16" i="9" s="1"/>
  <c r="J11" i="9"/>
  <c r="J16" i="9" s="1"/>
  <c r="K11" i="9"/>
  <c r="K16" i="9" s="1"/>
  <c r="L11" i="9"/>
  <c r="L16" i="9" s="1"/>
  <c r="M11" i="9"/>
  <c r="M16" i="9" s="1"/>
  <c r="N11" i="9"/>
  <c r="C11" i="9"/>
  <c r="C16" i="9" s="1"/>
  <c r="B21" i="8"/>
  <c r="B22" i="8" s="1"/>
  <c r="H34" i="5"/>
  <c r="H27" i="6" s="1"/>
  <c r="C28" i="6"/>
  <c r="C29" i="6" s="1"/>
  <c r="C30" i="6" s="1"/>
  <c r="D28" i="6"/>
  <c r="D29" i="6" s="1"/>
  <c r="D30" i="6" s="1"/>
  <c r="E28" i="6"/>
  <c r="E29" i="6" s="1"/>
  <c r="E30" i="6" s="1"/>
  <c r="F28" i="6"/>
  <c r="F29" i="6" s="1"/>
  <c r="F30" i="6" s="1"/>
  <c r="G28" i="6"/>
  <c r="G29" i="6" s="1"/>
  <c r="G30" i="6" s="1"/>
  <c r="H28" i="6"/>
  <c r="H29" i="6" s="1"/>
  <c r="H30" i="6" s="1"/>
  <c r="I28" i="6"/>
  <c r="I29" i="6" s="1"/>
  <c r="I30" i="6" s="1"/>
  <c r="J28" i="6"/>
  <c r="J29" i="6" s="1"/>
  <c r="J30" i="6" s="1"/>
  <c r="K28" i="6"/>
  <c r="K29" i="6" s="1"/>
  <c r="K30" i="6" s="1"/>
  <c r="L28" i="6"/>
  <c r="L29" i="6" s="1"/>
  <c r="L30" i="6" s="1"/>
  <c r="M28" i="6"/>
  <c r="M29" i="6" s="1"/>
  <c r="M30" i="6" s="1"/>
  <c r="B28" i="6"/>
  <c r="B29" i="6" s="1"/>
  <c r="B30" i="6" s="1"/>
  <c r="C35" i="37" l="1"/>
  <c r="C35" i="32"/>
  <c r="C35" i="24"/>
  <c r="C35" i="7"/>
  <c r="M35" i="37"/>
  <c r="M35" i="32"/>
  <c r="M35" i="24"/>
  <c r="M35" i="7"/>
  <c r="L35" i="37"/>
  <c r="L35" i="32"/>
  <c r="L35" i="24"/>
  <c r="L35" i="7"/>
  <c r="K35" i="37"/>
  <c r="K35" i="32"/>
  <c r="K35" i="24"/>
  <c r="K35" i="7"/>
  <c r="J35" i="37"/>
  <c r="J35" i="32"/>
  <c r="J35" i="24"/>
  <c r="J35" i="7"/>
  <c r="I35" i="37"/>
  <c r="I35" i="32"/>
  <c r="I35" i="24"/>
  <c r="I35" i="7"/>
  <c r="H35" i="37"/>
  <c r="H35" i="32"/>
  <c r="H35" i="24"/>
  <c r="H35" i="7"/>
  <c r="G35" i="37"/>
  <c r="G35" i="32"/>
  <c r="G35" i="24"/>
  <c r="G35" i="7"/>
  <c r="F35" i="37"/>
  <c r="F35" i="32"/>
  <c r="F35" i="24"/>
  <c r="F35" i="7"/>
  <c r="E35" i="37"/>
  <c r="E35" i="32"/>
  <c r="E35" i="24"/>
  <c r="E35" i="7"/>
  <c r="D35" i="37"/>
  <c r="D35" i="32"/>
  <c r="D35" i="24"/>
  <c r="D35" i="7"/>
  <c r="N16" i="9"/>
  <c r="B35" i="38"/>
  <c r="B15" i="38"/>
  <c r="H35" i="38" s="1"/>
  <c r="B34" i="5"/>
  <c r="B27" i="6" s="1"/>
  <c r="B31" i="6" s="1"/>
  <c r="C34" i="5"/>
  <c r="C27" i="6" s="1"/>
  <c r="C31" i="6" s="1"/>
  <c r="M34" i="5"/>
  <c r="M27" i="6" s="1"/>
  <c r="M31" i="6" s="1"/>
  <c r="L34" i="5"/>
  <c r="L27" i="6" s="1"/>
  <c r="L31" i="6" s="1"/>
  <c r="H31" i="6"/>
  <c r="G34" i="5"/>
  <c r="G27" i="6" s="1"/>
  <c r="G31" i="6" s="1"/>
  <c r="D34" i="5"/>
  <c r="D27" i="6" s="1"/>
  <c r="D31" i="6" s="1"/>
  <c r="K34" i="5"/>
  <c r="K27" i="6" s="1"/>
  <c r="K31" i="6" s="1"/>
  <c r="J34" i="5"/>
  <c r="J27" i="6" s="1"/>
  <c r="J31" i="6" s="1"/>
  <c r="I34" i="5"/>
  <c r="I27" i="6" s="1"/>
  <c r="I31" i="6" s="1"/>
  <c r="F34" i="5"/>
  <c r="F27" i="6" s="1"/>
  <c r="F31" i="6" s="1"/>
  <c r="E34" i="5"/>
  <c r="E27" i="6" s="1"/>
  <c r="E31" i="6" s="1"/>
  <c r="J38" i="38" l="1"/>
  <c r="J37" i="38"/>
  <c r="J36" i="38"/>
  <c r="D38" i="38"/>
  <c r="D37" i="38"/>
  <c r="D36" i="38"/>
  <c r="N35" i="37"/>
  <c r="N35" i="32"/>
  <c r="N35" i="24"/>
  <c r="N35" i="7"/>
</calcChain>
</file>

<file path=xl/sharedStrings.xml><?xml version="1.0" encoding="utf-8"?>
<sst xmlns="http://schemas.openxmlformats.org/spreadsheetml/2006/main" count="3554" uniqueCount="615">
  <si>
    <t xml:space="preserve">Trabajo de campo- Modelo de Pronóstico para la demanda de energia electrica en Tucuman en 2027								
								</t>
  </si>
  <si>
    <t>Fecha</t>
  </si>
  <si>
    <t>Demanda GWh</t>
  </si>
  <si>
    <t>Temp</t>
  </si>
  <si>
    <t>Temp^2</t>
  </si>
  <si>
    <t>Nivel (L)</t>
  </si>
  <si>
    <t>Tendencia (T)</t>
  </si>
  <si>
    <t>Estaci (S)</t>
  </si>
  <si>
    <t>Pron (F)</t>
  </si>
  <si>
    <t>ERROR GWh</t>
  </si>
  <si>
    <t>ERROR ABS</t>
  </si>
  <si>
    <t>t</t>
  </si>
  <si>
    <t>MAPE</t>
  </si>
  <si>
    <t>Jan-19</t>
  </si>
  <si>
    <t>Feb-19</t>
  </si>
  <si>
    <t>β0</t>
  </si>
  <si>
    <t>Mar-19</t>
  </si>
  <si>
    <t>β1</t>
  </si>
  <si>
    <t>MAD</t>
  </si>
  <si>
    <t>Apr-19</t>
  </si>
  <si>
    <t>β2</t>
  </si>
  <si>
    <t>May-19</t>
  </si>
  <si>
    <t>β3</t>
  </si>
  <si>
    <t>Jun-19</t>
  </si>
  <si>
    <t>Jul-19</t>
  </si>
  <si>
    <t>Aug-19</t>
  </si>
  <si>
    <t>Dummies</t>
  </si>
  <si>
    <t>Valor</t>
  </si>
  <si>
    <t>Sep-19</t>
  </si>
  <si>
    <t>Ene</t>
  </si>
  <si>
    <t>Resumen</t>
  </si>
  <si>
    <t>Oct-19</t>
  </si>
  <si>
    <t>Feb</t>
  </si>
  <si>
    <t>Nov-19</t>
  </si>
  <si>
    <t>Mar</t>
  </si>
  <si>
    <t>Estadísticas de la regresión</t>
  </si>
  <si>
    <t>Dec-19</t>
  </si>
  <si>
    <t>Abr</t>
  </si>
  <si>
    <t>Coeficiente de correlación múltiple</t>
  </si>
  <si>
    <t>Jan-20</t>
  </si>
  <si>
    <t>May</t>
  </si>
  <si>
    <t>Coeficiente de determinación R^2</t>
  </si>
  <si>
    <t>Feb-20</t>
  </si>
  <si>
    <t>Jun</t>
  </si>
  <si>
    <t>R^2  ajustado</t>
  </si>
  <si>
    <t>Mar-20</t>
  </si>
  <si>
    <t>Jul</t>
  </si>
  <si>
    <t>Error típico</t>
  </si>
  <si>
    <t>Apr-20</t>
  </si>
  <si>
    <t>Ago</t>
  </si>
  <si>
    <t>Observaciones</t>
  </si>
  <si>
    <t>May-20</t>
  </si>
  <si>
    <t>Sep</t>
  </si>
  <si>
    <t>Jun-20</t>
  </si>
  <si>
    <t>Oct</t>
  </si>
  <si>
    <t>ANÁLISIS DE VARIANZA</t>
  </si>
  <si>
    <t>Jul-20</t>
  </si>
  <si>
    <t>Nov</t>
  </si>
  <si>
    <t>Grados de libertad</t>
  </si>
  <si>
    <t>Suma de cuadrados</t>
  </si>
  <si>
    <t>Promedio de los cuadrados</t>
  </si>
  <si>
    <t>F</t>
  </si>
  <si>
    <t>Valor crítico de F</t>
  </si>
  <si>
    <t>Aug-20</t>
  </si>
  <si>
    <t>Dic</t>
  </si>
  <si>
    <t>Regresión</t>
  </si>
  <si>
    <t>Sep-20</t>
  </si>
  <si>
    <t>Residuos</t>
  </si>
  <si>
    <t>Oct-20</t>
  </si>
  <si>
    <t>Total</t>
  </si>
  <si>
    <t>Nov-20</t>
  </si>
  <si>
    <t>Dec-20</t>
  </si>
  <si>
    <t>Coeficientes</t>
  </si>
  <si>
    <t>Estadístico t</t>
  </si>
  <si>
    <t>Probabilidad</t>
  </si>
  <si>
    <t>Inferior 95%</t>
  </si>
  <si>
    <t>Superior 95%</t>
  </si>
  <si>
    <t>Inferior 95,0%</t>
  </si>
  <si>
    <t>Superior 95,0%</t>
  </si>
  <si>
    <t>Jan-21</t>
  </si>
  <si>
    <t>Intercepción</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</si>
  <si>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</si>
  <si>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</si>
  <si>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</si>
  <si>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</si>
  <si>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</si>
  <si>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</si>
  <si>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</si>
  <si>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</si>
  <si>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</si>
  <si>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</si>
  <si>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</si>
  <si>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</si>
  <si>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</si>
  <si>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</si>
  <si>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</si>
  <si>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</si>
  <si>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</si>
  <si>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</si>
  <si>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</si>
  <si>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</si>
  <si>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</si>
  <si>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</si>
  <si>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</si>
  <si>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</si>
  <si>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</si>
  <si>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</si>
  <si>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</si>
  <si>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</si>
  <si>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</si>
  <si>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</si>
  <si>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</si>
  <si>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</si>
  <si>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</si>
  <si>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</si>
  <si>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</si>
  <si>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</si>
  <si>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</si>
  <si>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</si>
  <si>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</si>
  <si>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</si>
  <si>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</si>
  <si>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</si>
  <si>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</si>
  <si>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</si>
  <si>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</si>
  <si>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</si>
  <si>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</si>
  <si>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</si>
  <si>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</si>
  <si>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</si>
  <si>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</si>
  <si>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Jun-25</t>
  </si>
  <si>
    <t>Jul-25</t>
  </si>
  <si>
    <t>Aug-25</t>
  </si>
  <si>
    <t>Sep-25</t>
  </si>
  <si>
    <t>Oct-25</t>
  </si>
  <si>
    <t>Nov-25</t>
  </si>
  <si>
    <t>Dec-25</t>
  </si>
  <si>
    <t>Ene-27</t>
  </si>
  <si>
    <t>Feb-27</t>
  </si>
  <si>
    <t>Mar-27</t>
  </si>
  <si>
    <t>Abr-27</t>
  </si>
  <si>
    <t>May-27</t>
  </si>
  <si>
    <t>Jun-27</t>
  </si>
  <si>
    <t>Jul-27</t>
  </si>
  <si>
    <t>Ago-27</t>
  </si>
  <si>
    <t>Sep-27</t>
  </si>
  <si>
    <t>Oct-27</t>
  </si>
  <si>
    <t>Nov-27</t>
  </si>
  <si>
    <t>Dic-27</t>
  </si>
  <si>
    <t>Análisis de Sensibilidad- Variación de la demanda debido al incremento del 10% en la temperatura de meses estivales para 2027</t>
  </si>
  <si>
    <t>Temp Base °C</t>
  </si>
  <si>
    <t>Temp Sensibilizada</t>
  </si>
  <si>
    <t>Temp2 Sensibilizada</t>
  </si>
  <si>
    <t>Pronostico base</t>
  </si>
  <si>
    <t>Pron Sensibilizado</t>
  </si>
  <si>
    <t>Variación</t>
  </si>
  <si>
    <t>ene</t>
  </si>
  <si>
    <t>feb</t>
  </si>
  <si>
    <t>mar</t>
  </si>
  <si>
    <t>abr</t>
  </si>
  <si>
    <t>may</t>
  </si>
  <si>
    <t>jun</t>
  </si>
  <si>
    <t>jul</t>
  </si>
  <si>
    <t>ago</t>
  </si>
  <si>
    <t>sep</t>
  </si>
  <si>
    <t>oct</t>
  </si>
  <si>
    <t>nov</t>
  </si>
  <si>
    <t>dic</t>
  </si>
  <si>
    <t>Total Base Anual</t>
  </si>
  <si>
    <t>Total Sensibilizado Anual</t>
  </si>
  <si>
    <t>Variación total GWh</t>
  </si>
  <si>
    <t xml:space="preserve">Parámetros de Energía Renovable EXTRAÍDO DEL EXCEL CAMMESA </t>
  </si>
  <si>
    <t>HIDRO &lt;= 50Mw (GWh)</t>
  </si>
  <si>
    <t>σ_ε</t>
  </si>
  <si>
    <t>(Proviene del pronostico)</t>
  </si>
  <si>
    <t>Mes</t>
  </si>
  <si>
    <t>E[Ghidro,t]</t>
  </si>
  <si>
    <t>σren,HIDRO,t</t>
  </si>
  <si>
    <r>
      <t xml:space="preserve">G max HIDRO,t </t>
    </r>
    <r>
      <rPr>
        <sz val="12"/>
        <color theme="1"/>
        <rFont val="Aptos"/>
        <family val="2"/>
      </rPr>
      <t xml:space="preserve"> </t>
    </r>
  </si>
  <si>
    <t>BIOMASA (GWh)</t>
  </si>
  <si>
    <t>E[Gbm,t]</t>
  </si>
  <si>
    <t>σren,BM,t</t>
  </si>
  <si>
    <r>
      <t xml:space="preserve">G max BM,t </t>
    </r>
    <r>
      <rPr>
        <sz val="12"/>
        <color theme="1"/>
        <rFont val="Aptos"/>
        <family val="2"/>
      </rPr>
      <t xml:space="preserve"> </t>
    </r>
  </si>
  <si>
    <t>BIOGAS (GWh)</t>
  </si>
  <si>
    <t>E[Gbg,t]</t>
  </si>
  <si>
    <t>σren,BG,t</t>
  </si>
  <si>
    <r>
      <t xml:space="preserve">G max BG,t </t>
    </r>
    <r>
      <rPr>
        <sz val="12"/>
        <color theme="1"/>
        <rFont val="Aptos"/>
        <family val="2"/>
      </rPr>
      <t xml:space="preserve"> </t>
    </r>
  </si>
  <si>
    <t>σt</t>
  </si>
  <si>
    <t>MODELO NEWSVENDOR</t>
  </si>
  <si>
    <t>CENS=</t>
  </si>
  <si>
    <t>UDS/GWh</t>
  </si>
  <si>
    <t>C_mem</t>
  </si>
  <si>
    <t>UDS/GWh, estacional</t>
  </si>
  <si>
    <t>valor</t>
  </si>
  <si>
    <t>Co=C_res =</t>
  </si>
  <si>
    <t>Columna1</t>
  </si>
  <si>
    <t>C_mem UDS/GWh</t>
  </si>
  <si>
    <t>C_u (t)</t>
  </si>
  <si>
    <t>CR</t>
  </si>
  <si>
    <t>Z_t</t>
  </si>
  <si>
    <t>SS_t (GWh)</t>
  </si>
  <si>
    <t>Parámetros globales del modelo</t>
  </si>
  <si>
    <t>Parámetro</t>
  </si>
  <si>
    <t>Unidad</t>
  </si>
  <si>
    <t>Valor convertido</t>
  </si>
  <si>
    <t>Unidad convertida</t>
  </si>
  <si>
    <t>CENS</t>
  </si>
  <si>
    <t>USD/MWh</t>
  </si>
  <si>
    <t>USD/GWh</t>
  </si>
  <si>
    <t>Costo de Energía No Suministrada</t>
  </si>
  <si>
    <t>C_res (Reserva de Confiabilidad Base)</t>
  </si>
  <si>
    <t>USD/MW-mes</t>
  </si>
  <si>
    <t xml:space="preserve"> - </t>
  </si>
  <si>
    <t>Costo mensual de mantener contratada una unidad de reserva térmica (costo de exceso del Newsvendor)</t>
  </si>
  <si>
    <t>horas_mes (supuesto)</t>
  </si>
  <si>
    <t>hs/mes</t>
  </si>
  <si>
    <t>30 dias * 24hs, usada para convertir energía en potencia media</t>
  </si>
  <si>
    <t>eta (pérdidas de transporte)</t>
  </si>
  <si>
    <t>adim (%)</t>
  </si>
  <si>
    <t>Porcentaje de la energía generada que se pierde en el trayecto hasta el usuario final</t>
  </si>
  <si>
    <t>T_max (línea El Bracho-Cobos)</t>
  </si>
  <si>
    <t>MVA</t>
  </si>
  <si>
    <t>Capacidad máxima de transporte de la línea de alta tensión que abastece a Tucumán expresada en potencia aparente</t>
  </si>
  <si>
    <t>fp (factor de potencia, supuesto)</t>
  </si>
  <si>
    <t>adim</t>
  </si>
  <si>
    <t xml:space="preserve">Relación entre la potencia activa realmente utilizable y la potenci aparente total de la línea </t>
  </si>
  <si>
    <t>C_HIDRO (PAH)</t>
  </si>
  <si>
    <t>Costo promedio de compra de energía renovable hidroeléctrica de pequeña escala, según contratos de abastecimiento (PAH)</t>
  </si>
  <si>
    <t>C_BIOMASA (BM)</t>
  </si>
  <si>
    <t>Costo promedio de compra de energía renovable generada a partir de biomasa</t>
  </si>
  <si>
    <t>C_BIOGAS (BG)</t>
  </si>
  <si>
    <t>Costo promedio de compra de energía renovable generada a partis de biogás</t>
  </si>
  <si>
    <t>sigma_epsilon (error residual demanda)</t>
  </si>
  <si>
    <t>GWh</t>
  </si>
  <si>
    <t xml:space="preserve"> -</t>
  </si>
  <si>
    <t>Desvío estándar del error del modelo de pronóstico, mide cuánto se equivoca en promedio la predicción de demand. Es insumo de variabilidad del módulo Newsvendor</t>
  </si>
  <si>
    <t>GWh_a_MWh (factor de conversión)</t>
  </si>
  <si>
    <t>MWh/GWh</t>
  </si>
  <si>
    <t>Factor fijo para convertir en GWh a MWh</t>
  </si>
  <si>
    <t>C_res_equiv (=C_res / horas_mes)</t>
  </si>
  <si>
    <t>Costo de reserva, convertido de USD/MW-mes a USD/MWh</t>
  </si>
  <si>
    <t>T_max_MW (=T_max_MVA x fp)</t>
  </si>
  <si>
    <t>MW</t>
  </si>
  <si>
    <t>Capacidad de transporte de la línea, convertida de potencia aparente MVA a potencia activa MW aplicando el factor de potencia</t>
  </si>
  <si>
    <t>T_max_mensual (=T_max_MW x horas_mes / 1000)</t>
  </si>
  <si>
    <t>GWh/mes</t>
  </si>
  <si>
    <t xml:space="preserve">Capacidad de transporte máxima, convertida de una potencia instantánea MW a una cantidad de energía que puede transportarse en un mes GWh. </t>
  </si>
  <si>
    <t>DATOS MENSUALES — Demanda, Oferta Renovable y Newsvendor</t>
  </si>
  <si>
    <t>D_t (demanda pronosticada)</t>
  </si>
  <si>
    <t>C_mem,t (costo monómico)</t>
  </si>
  <si>
    <t>σ_ren HIDRO</t>
  </si>
  <si>
    <t>σ_ren BIOMASA</t>
  </si>
  <si>
    <t>σ_ren BIOGAS</t>
  </si>
  <si>
    <t>σ_t (variabilidad total)</t>
  </si>
  <si>
    <t>C_u,t (costo de subestimar)</t>
  </si>
  <si>
    <t>C_o (costo de sobreestimar)</t>
  </si>
  <si>
    <t>CR (razón crítica)</t>
  </si>
  <si>
    <t>Z (inversa normal estándar)</t>
  </si>
  <si>
    <t>SS_t (stock de seguridad)</t>
  </si>
  <si>
    <t>G_max HIDRO</t>
  </si>
  <si>
    <t>G_max BIOMASA</t>
  </si>
  <si>
    <t>G_max BIOGAS</t>
  </si>
  <si>
    <t>Microsoft Excel 16.0 Informe de respuestas</t>
  </si>
  <si>
    <t>Hoja de cálculo: [TRABAJO DE CAMPO.xlsx]PL MULTIPERIODO</t>
  </si>
  <si>
    <t>Informe creado: 13/7/2026 22:14:57</t>
  </si>
  <si>
    <t>Resultado: Solver encontró una solución. Se cumplen todas las restricciones y condiciones óptimas.</t>
  </si>
  <si>
    <t>Motor de Solver</t>
  </si>
  <si>
    <t>Motor: Simplex LP</t>
  </si>
  <si>
    <t>Tiempo de la solución: 0,546 segundos.</t>
  </si>
  <si>
    <t>Iteraciones: 72 Subproblemas: 0</t>
  </si>
  <si>
    <t>Opciones de Solver</t>
  </si>
  <si>
    <t>Tiempo máximo Ilimitado,  Iteraciones Ilimitado, Precision 0,000001, Usar escala automática</t>
  </si>
  <si>
    <t>Máximo de subproblemas Ilimitado, Máximo de soluciones de enteros Ilimitado, Tolerancia de enteros 1%, Asumir no negativo</t>
  </si>
  <si>
    <t>Celda objetivo (Mín)</t>
  </si>
  <si>
    <t>Celda</t>
  </si>
  <si>
    <t>Nombre</t>
  </si>
  <si>
    <t>Valor original</t>
  </si>
  <si>
    <t>Valor final</t>
  </si>
  <si>
    <t>$C$20</t>
  </si>
  <si>
    <t>UDS Enero</t>
  </si>
  <si>
    <t>Celdas de variables</t>
  </si>
  <si>
    <t>Entero</t>
  </si>
  <si>
    <t>$C$7</t>
  </si>
  <si>
    <t>GWh Enero</t>
  </si>
  <si>
    <t>Continuar</t>
  </si>
  <si>
    <t>$D$7</t>
  </si>
  <si>
    <t>GWh Febrero</t>
  </si>
  <si>
    <t>$E$7</t>
  </si>
  <si>
    <t>GWh Marzo</t>
  </si>
  <si>
    <t>$F$7</t>
  </si>
  <si>
    <t>GWh Abril</t>
  </si>
  <si>
    <t>$G$7</t>
  </si>
  <si>
    <t>GWh Mayo</t>
  </si>
  <si>
    <t>$H$7</t>
  </si>
  <si>
    <t>GWh Junio</t>
  </si>
  <si>
    <t>$I$7</t>
  </si>
  <si>
    <t>GWh Julio</t>
  </si>
  <si>
    <t>$J$7</t>
  </si>
  <si>
    <t>GWh Agosto</t>
  </si>
  <si>
    <t>$K$7</t>
  </si>
  <si>
    <t>GWh Septiembre</t>
  </si>
  <si>
    <t>$L$7</t>
  </si>
  <si>
    <t>GWh Octubre</t>
  </si>
  <si>
    <t>$M$7</t>
  </si>
  <si>
    <t>GWh Noviembre</t>
  </si>
  <si>
    <t>$N$7</t>
  </si>
  <si>
    <t>GWh Diciembre</t>
  </si>
  <si>
    <t>$C$8</t>
  </si>
  <si>
    <t>$D$8</t>
  </si>
  <si>
    <t>$E$8</t>
  </si>
  <si>
    <t>$F$8</t>
  </si>
  <si>
    <t>$G$8</t>
  </si>
  <si>
    <t>$H$8</t>
  </si>
  <si>
    <t>$I$8</t>
  </si>
  <si>
    <t>$J$8</t>
  </si>
  <si>
    <t>$K$8</t>
  </si>
  <si>
    <t>$L$8</t>
  </si>
  <si>
    <t>$M$8</t>
  </si>
  <si>
    <t>$N$8</t>
  </si>
  <si>
    <t>$C$9</t>
  </si>
  <si>
    <t>$D$9</t>
  </si>
  <si>
    <t>$E$9</t>
  </si>
  <si>
    <t>$F$9</t>
  </si>
  <si>
    <t>$G$9</t>
  </si>
  <si>
    <t>$H$9</t>
  </si>
  <si>
    <t>$I$9</t>
  </si>
  <si>
    <t>$J$9</t>
  </si>
  <si>
    <t>$K$9</t>
  </si>
  <si>
    <t>$L$9</t>
  </si>
  <si>
    <t>$M$9</t>
  </si>
  <si>
    <t>$N$9</t>
  </si>
  <si>
    <t>$C$10</t>
  </si>
  <si>
    <t>$D$10</t>
  </si>
  <si>
    <t>$E$10</t>
  </si>
  <si>
    <t>$F$10</t>
  </si>
  <si>
    <t>$G$10</t>
  </si>
  <si>
    <t>$H$10</t>
  </si>
  <si>
    <t>$I$10</t>
  </si>
  <si>
    <t>$J$10</t>
  </si>
  <si>
    <t>$K$10</t>
  </si>
  <si>
    <t>$L$10</t>
  </si>
  <si>
    <t>$M$10</t>
  </si>
  <si>
    <t>$N$10</t>
  </si>
  <si>
    <t>$C$11</t>
  </si>
  <si>
    <t>$D$11</t>
  </si>
  <si>
    <t>$E$11</t>
  </si>
  <si>
    <t>$F$11</t>
  </si>
  <si>
    <t>$G$11</t>
  </si>
  <si>
    <t>$H$11</t>
  </si>
  <si>
    <t>$I$11</t>
  </si>
  <si>
    <t>$J$11</t>
  </si>
  <si>
    <t>$K$11</t>
  </si>
  <si>
    <t>$L$11</t>
  </si>
  <si>
    <t>$M$11</t>
  </si>
  <si>
    <t>$N$11</t>
  </si>
  <si>
    <t>$C$12</t>
  </si>
  <si>
    <t>$D$12</t>
  </si>
  <si>
    <t>$E$12</t>
  </si>
  <si>
    <t>$F$12</t>
  </si>
  <si>
    <t>$G$12</t>
  </si>
  <si>
    <t>$H$12</t>
  </si>
  <si>
    <t>$I$12</t>
  </si>
  <si>
    <t>$J$12</t>
  </si>
  <si>
    <t>$K$12</t>
  </si>
  <si>
    <t>$L$12</t>
  </si>
  <si>
    <t>$M$12</t>
  </si>
  <si>
    <t>$N$12</t>
  </si>
  <si>
    <t>Restricciones</t>
  </si>
  <si>
    <t>Valor de la celda</t>
  </si>
  <si>
    <t>Fórmula</t>
  </si>
  <si>
    <t>Estado</t>
  </si>
  <si>
    <t>Demora</t>
  </si>
  <si>
    <t>$C$27</t>
  </si>
  <si>
    <t>$C$27=$C$29</t>
  </si>
  <si>
    <t>Vinculante</t>
  </si>
  <si>
    <t>$D$27</t>
  </si>
  <si>
    <t>$D$27=$D$29</t>
  </si>
  <si>
    <t>$E$27</t>
  </si>
  <si>
    <t>$E$27=$E$29</t>
  </si>
  <si>
    <t>$F$27</t>
  </si>
  <si>
    <t>$F$27=$F$29</t>
  </si>
  <si>
    <t>$G$27</t>
  </si>
  <si>
    <t>$G$27=$G$29</t>
  </si>
  <si>
    <t>$H$27</t>
  </si>
  <si>
    <t>$H$27=$H$29</t>
  </si>
  <si>
    <t>$I$27</t>
  </si>
  <si>
    <t>$I$27=$I$29</t>
  </si>
  <si>
    <t>$J$27</t>
  </si>
  <si>
    <t>$J$27=$J$29</t>
  </si>
  <si>
    <t>$K$27</t>
  </si>
  <si>
    <t>$K$27=$K$29</t>
  </si>
  <si>
    <t>$L$27</t>
  </si>
  <si>
    <t>$L$27=$L$29</t>
  </si>
  <si>
    <t>$M$27</t>
  </si>
  <si>
    <t>$M$27=$M$29</t>
  </si>
  <si>
    <t>$N$27</t>
  </si>
  <si>
    <t>$N$27=$N$29</t>
  </si>
  <si>
    <t>$C$33</t>
  </si>
  <si>
    <t>$C$33&gt;=$C$35</t>
  </si>
  <si>
    <t>$D$33</t>
  </si>
  <si>
    <t>$D$33&gt;=$D$35</t>
  </si>
  <si>
    <t>$E$33</t>
  </si>
  <si>
    <t>$E$33&gt;=$E$35</t>
  </si>
  <si>
    <t>$F$33</t>
  </si>
  <si>
    <t>$F$33&gt;=$F$35</t>
  </si>
  <si>
    <t>$G$33</t>
  </si>
  <si>
    <t>$G$33&gt;=$G$35</t>
  </si>
  <si>
    <t>$H$33</t>
  </si>
  <si>
    <t>$H$33&gt;=$H$35</t>
  </si>
  <si>
    <t>$I$33</t>
  </si>
  <si>
    <t>$I$33&gt;=$I$35</t>
  </si>
  <si>
    <t>$J$33</t>
  </si>
  <si>
    <t>$J$33&gt;=$J$35</t>
  </si>
  <si>
    <t>$K$33</t>
  </si>
  <si>
    <t>$K$33&gt;=$K$35</t>
  </si>
  <si>
    <t>$L$33</t>
  </si>
  <si>
    <t>$L$33&gt;=$L$35</t>
  </si>
  <si>
    <t>$M$33</t>
  </si>
  <si>
    <t>$M$33&gt;=$M$35</t>
  </si>
  <si>
    <t>$N$33</t>
  </si>
  <si>
    <t>$N$33&gt;=$N$35</t>
  </si>
  <si>
    <t>$C$42</t>
  </si>
  <si>
    <t>$C$42=$C$44</t>
  </si>
  <si>
    <t>$D$42</t>
  </si>
  <si>
    <t>$D$42=$D$44</t>
  </si>
  <si>
    <t>$E$42</t>
  </si>
  <si>
    <t>$E$42=$E$44</t>
  </si>
  <si>
    <t>$F$42</t>
  </si>
  <si>
    <t>$F$42=$F$44</t>
  </si>
  <si>
    <t>$G$42</t>
  </si>
  <si>
    <t>$G$42=$G$44</t>
  </si>
  <si>
    <t>$H$42</t>
  </si>
  <si>
    <t>$H$42=$H$44</t>
  </si>
  <si>
    <t>$I$42</t>
  </si>
  <si>
    <t>$I$42=$I$44</t>
  </si>
  <si>
    <t>$J$42</t>
  </si>
  <si>
    <t>$J$42=$J$44</t>
  </si>
  <si>
    <t>$K$42</t>
  </si>
  <si>
    <t>$K$42=$K$44</t>
  </si>
  <si>
    <t>$L$42</t>
  </si>
  <si>
    <t>$L$42=$L$44</t>
  </si>
  <si>
    <t>$M$42</t>
  </si>
  <si>
    <t>$M$42=$M$44</t>
  </si>
  <si>
    <t>$N$42</t>
  </si>
  <si>
    <t>$N$42=$N$44</t>
  </si>
  <si>
    <t>$C$49</t>
  </si>
  <si>
    <t>$C$49=$C$51</t>
  </si>
  <si>
    <t>$D$49</t>
  </si>
  <si>
    <t>$D$49=$D$51</t>
  </si>
  <si>
    <t>$E$49</t>
  </si>
  <si>
    <t>$E$49=$E$51</t>
  </si>
  <si>
    <t>$F$49</t>
  </si>
  <si>
    <t>$F$49=$F$51</t>
  </si>
  <si>
    <t>$G$49</t>
  </si>
  <si>
    <t>$G$49=$G$51</t>
  </si>
  <si>
    <t>$H$49</t>
  </si>
  <si>
    <t>$H$49=$H$51</t>
  </si>
  <si>
    <t>$I$49</t>
  </si>
  <si>
    <t>$I$49=$I$51</t>
  </si>
  <si>
    <t>$J$49</t>
  </si>
  <si>
    <t>$J$49=$J$51</t>
  </si>
  <si>
    <t>$K$49</t>
  </si>
  <si>
    <t>$K$49=$K$51</t>
  </si>
  <si>
    <t>$L$49</t>
  </si>
  <si>
    <t>$L$49=$L$51</t>
  </si>
  <si>
    <t>$M$49</t>
  </si>
  <si>
    <t>$M$49=$M$51</t>
  </si>
  <si>
    <t>$N$49</t>
  </si>
  <si>
    <t>$N$49=$N$51</t>
  </si>
  <si>
    <t>$C$55</t>
  </si>
  <si>
    <t>$C$55=$C$57</t>
  </si>
  <si>
    <t>$D$55</t>
  </si>
  <si>
    <t>$D$55=$D$57</t>
  </si>
  <si>
    <t>$E$55</t>
  </si>
  <si>
    <t>$E$55=$E$57</t>
  </si>
  <si>
    <t>$F$55</t>
  </si>
  <si>
    <t>$F$55=$F$57</t>
  </si>
  <si>
    <t>$G$55</t>
  </si>
  <si>
    <t>$G$55=$G$57</t>
  </si>
  <si>
    <t>$H$55</t>
  </si>
  <si>
    <t>$H$55=$H$57</t>
  </si>
  <si>
    <t>$I$55</t>
  </si>
  <si>
    <t>$I$55=$I$57</t>
  </si>
  <si>
    <t>$J$55</t>
  </si>
  <si>
    <t>$J$55=$J$57</t>
  </si>
  <si>
    <t>$K$55</t>
  </si>
  <si>
    <t>$K$55=$K$57</t>
  </si>
  <si>
    <t>$L$55</t>
  </si>
  <si>
    <t>$L$55=$L$57</t>
  </si>
  <si>
    <t>$M$55</t>
  </si>
  <si>
    <t>$M$55=$M$57</t>
  </si>
  <si>
    <t>$N$55</t>
  </si>
  <si>
    <t>$N$55=$N$57</t>
  </si>
  <si>
    <t>$C$63</t>
  </si>
  <si>
    <t>$C$63&lt;=$C$65</t>
  </si>
  <si>
    <t>No vinculante</t>
  </si>
  <si>
    <t>$D$63</t>
  </si>
  <si>
    <t>$D$63&lt;=$D$65</t>
  </si>
  <si>
    <t>$E$63</t>
  </si>
  <si>
    <t>$E$63&lt;=$E$65</t>
  </si>
  <si>
    <t>$F$63</t>
  </si>
  <si>
    <t>$F$63&lt;=$F$65</t>
  </si>
  <si>
    <t>$G$63</t>
  </si>
  <si>
    <t>$G$63&lt;=$G$65</t>
  </si>
  <si>
    <t>$H$63</t>
  </si>
  <si>
    <t>$H$63&lt;=$H$65</t>
  </si>
  <si>
    <t>$I$63</t>
  </si>
  <si>
    <t>$I$63&lt;=$I$65</t>
  </si>
  <si>
    <t>$J$63</t>
  </si>
  <si>
    <t>$J$63&lt;=$J$65</t>
  </si>
  <si>
    <t>$K$63</t>
  </si>
  <si>
    <t>$K$63&lt;=$K$65</t>
  </si>
  <si>
    <t>$L$63</t>
  </si>
  <si>
    <t>$L$63&lt;=$L$65</t>
  </si>
  <si>
    <t>$M$63</t>
  </si>
  <si>
    <t>$M$63&lt;=$M$65</t>
  </si>
  <si>
    <t>$N$63</t>
  </si>
  <si>
    <t>$N$63&lt;=$N$65</t>
  </si>
  <si>
    <t>Microsoft Excel 16.0 Informe de sensibilidad</t>
  </si>
  <si>
    <t>Informe creado: 13/7/2026 22:15:00</t>
  </si>
  <si>
    <t>Final</t>
  </si>
  <si>
    <t>Reducido</t>
  </si>
  <si>
    <t>Objetivo</t>
  </si>
  <si>
    <t>Permisible</t>
  </si>
  <si>
    <t>Coste</t>
  </si>
  <si>
    <t>Coeficiente</t>
  </si>
  <si>
    <t>Aumentar</t>
  </si>
  <si>
    <t>Reducir</t>
  </si>
  <si>
    <t>Sombra</t>
  </si>
  <si>
    <t>Restricción</t>
  </si>
  <si>
    <t>Precio</t>
  </si>
  <si>
    <t>Lado derecho</t>
  </si>
  <si>
    <t>PROGRAMACIÓN LINEAL MULTIPERIODO- TUCUMÁN 2027</t>
  </si>
  <si>
    <t>Variables de decision</t>
  </si>
  <si>
    <t>Variable</t>
  </si>
  <si>
    <t>Enero</t>
  </si>
  <si>
    <t>Febrero</t>
  </si>
  <si>
    <t>Marzo</t>
  </si>
  <si>
    <t>Abril</t>
  </si>
  <si>
    <t>Mayo</t>
  </si>
  <si>
    <t>Junio</t>
  </si>
  <si>
    <t>Julio</t>
  </si>
  <si>
    <t>Agosto</t>
  </si>
  <si>
    <t>Septiembre</t>
  </si>
  <si>
    <t>Octubre</t>
  </si>
  <si>
    <t>Noviembre</t>
  </si>
  <si>
    <t>Diciembre</t>
  </si>
  <si>
    <t>X_HIDRO (hidro &lt;=50MW)</t>
  </si>
  <si>
    <t>X_BIOMASA (renov. biomasa)</t>
  </si>
  <si>
    <t>X_BIOGAS (renov. biogás)</t>
  </si>
  <si>
    <t>Y (energía convencional MEM)</t>
  </si>
  <si>
    <t>R (reserva térmica contratada)</t>
  </si>
  <si>
    <t>ENS (Energía No Suministrada)</t>
  </si>
  <si>
    <t>Función Objetivo</t>
  </si>
  <si>
    <t>Costo Mensual total</t>
  </si>
  <si>
    <t>UDS</t>
  </si>
  <si>
    <t>Costo total anual</t>
  </si>
  <si>
    <t>Balance de energía</t>
  </si>
  <si>
    <t>LHS</t>
  </si>
  <si>
    <t>SIGNO</t>
  </si>
  <si>
    <t xml:space="preserve"> =</t>
  </si>
  <si>
    <t>RHS= D_t</t>
  </si>
  <si>
    <t>Stock de seguridad</t>
  </si>
  <si>
    <t>LHS=R_t</t>
  </si>
  <si>
    <t>&gt;=</t>
  </si>
  <si>
    <t>RHS= SS_t</t>
  </si>
  <si>
    <t>Holgura</t>
  </si>
  <si>
    <t>Capacidad física de generación renovable</t>
  </si>
  <si>
    <t>HIDRO</t>
  </si>
  <si>
    <t>RHS (máximo)= Gmax</t>
  </si>
  <si>
    <t>BIOMASA</t>
  </si>
  <si>
    <t>RHS</t>
  </si>
  <si>
    <t>BIOGAS</t>
  </si>
  <si>
    <t>Capacidad máxima de transporte</t>
  </si>
  <si>
    <t>&lt;=</t>
  </si>
  <si>
    <t>RHS= T_max_mensual</t>
  </si>
  <si>
    <t>Restricción de no negatividad</t>
  </si>
  <si>
    <t xml:space="preserve"> X_HIDRO,t, X_BIOMASA,t, X_BIOGAS,t, Y_t, R_t ≥ 0  </t>
  </si>
  <si>
    <t>Coeficientes económicos</t>
  </si>
  <si>
    <t>C_HIDRO UDS/GWh</t>
  </si>
  <si>
    <t>C_BIOMASA UDS/GWh</t>
  </si>
  <si>
    <t>C_BIOGAS UDS/GWh</t>
  </si>
  <si>
    <t>C_res_equiv UDS/GWh</t>
  </si>
  <si>
    <t>CENS (Costo Energía No Sumistrada) UDS/GWh</t>
  </si>
  <si>
    <t xml:space="preserve">C_mem </t>
  </si>
  <si>
    <t xml:space="preserve">Coeficientes </t>
  </si>
  <si>
    <t>Pérdida de transporte (eta)</t>
  </si>
  <si>
    <t>Hoja de cálculo: [TRABAJO DE CAMPO.xlsx]PL MUlTIPERIODO A. SENSIBILIDAD</t>
  </si>
  <si>
    <t>Informe creado: 13/7/2026 22:27:58</t>
  </si>
  <si>
    <t>Informe creado: 13/7/2026 22:27:55</t>
  </si>
  <si>
    <t>Tiempo de la solución: 0,547 segundos.</t>
  </si>
  <si>
    <t xml:space="preserve">PROGRAMACIÓN LINEAL MULTIPERIODO- ANALISIS DE SENSIBILIDAD </t>
  </si>
  <si>
    <t>Hoja de cálculo: [TRABAJO DE CAMPO.xlsx]PL MULT. AS-TMAX</t>
  </si>
  <si>
    <t>Informe creado: 13/7/2026 23:12:59</t>
  </si>
  <si>
    <t>IMPACTO ECONÓMICO</t>
  </si>
  <si>
    <t>Tarifa teórica mensual por escenario (USD/MWh)</t>
  </si>
  <si>
    <t>Corridas</t>
  </si>
  <si>
    <t>Base</t>
  </si>
  <si>
    <t>Escenario A</t>
  </si>
  <si>
    <t>Escenario B</t>
  </si>
  <si>
    <t>Escenario C</t>
  </si>
  <si>
    <t>Tarifa Anual Ponderada (USD/MWh)</t>
  </si>
  <si>
    <t>Valores</t>
  </si>
  <si>
    <t>IMPACTO SOCIAL</t>
  </si>
  <si>
    <t>Horas de corte equivalentes (h/año)</t>
  </si>
  <si>
    <t>TABLA RESUMEN ANUAL — LOS CUATRO ESCENARIOS</t>
  </si>
  <si>
    <t>Escenario</t>
  </si>
  <si>
    <t>Costo Total Anual</t>
  </si>
  <si>
    <t>Δ Costo vs Base</t>
  </si>
  <si>
    <t>ENS Total (GWh)</t>
  </si>
  <si>
    <t>Tarifa Teórica Prom</t>
  </si>
  <si>
    <t>Δ Tarifa vs Base</t>
  </si>
  <si>
    <t>Horas de Corte Equivalentes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</si>
</sst>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
  </numFmts>
  <fonts count="26">
    <font>
      <sz val="11"/>
      <color theme="1"/>
      <name val="Aptos Narrow"/>
      <family val="2"/>
      <scheme val="minor"/>
    </font>
    <font>
      <sz val="11"/>
      <color theme="1"/>
      <name val="Aptos Narrow"/>
      <family val="2"/>
      <scheme val="minor"/>
    </font>
    <font>
      <b/>
      <sz val="11"/>
      <color theme="1"/>
      <name val="Aptos Narrow"/>
      <family val="2"/>
      <scheme val="minor"/>
    </font>
    <font>
      <b/>
      <sz val="11"/>
      <color indexed="18"/>
      <name val="Aptos Narrow"/>
      <family val="2"/>
      <scheme val="minor"/>
    </font>
    <font>
      <b/>
      <sz val="11"/>
      <color rgb="FFFF0000"/>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12"/>
      <color theme="1"/>
      <name val="Aptos"/>
      <family val="2"/>
    </font>
    <font>
      <sz val="10"/>
      <color theme="1"/>
      <name val="Aptos"/>
      <family val="2"/>
    </font>
    <font>
      <sz val="9"/>
      <color theme="1"/>
      <name val="Aptos"/>
      <family val="2"/>
    </font>
    <font>
      <b/>
      <sz val="18"/>
      <color theme="1"/>
      <name val="Aptos Narrow"/>
      <family val="2"/>
      <scheme val="minor"/>
    </font>
    <font>
      <sz val="11"/>
      <color theme="1"/>
      <name val="Arial"/>
      <family val="2"/>
    </font>
    <font>
      <sz val="10"/>
      <color rgb="FF000000"/>
      <name val="Arial"/>
      <family val="2"/>
    </font>
    <font>
      <sz val="10"/>
      <color rgb="FF0000FF"/>
      <name val="Arial"/>
      <family val="2"/>
    </font>
    <font>
      <sz val="8"/>
      <name val="Aptos Narrow"/>
      <family val="2"/>
      <scheme val="minor"/>
    </font>
    <font>
      <b/>
      <sz val="11"/>
      <color theme="0"/>
      <name val="Aptos Narrow"/>
      <family val="2"/>
      <scheme val="minor"/>
    </font>
    <font>
      <sz val="11"/>
      <color rgb="FF000000"/>
      <name val="Aptos Narrow"/>
      <family val="2"/>
      <scheme val="minor"/>
    </font>
    <font>
      <b/>
      <sz val="11"/>
      <color rgb="FF000000"/>
      <name val="Aptos Narrow"/>
      <family val="2"/>
      <scheme val="minor"/>
    </font>
    <font>
      <b/>
      <sz val="10"/>
      <color theme="0"/>
      <name val="Arial"/>
      <family val="2"/>
    </font>
    <font>
      <i/>
      <sz val="11"/>
      <color theme="1"/>
      <name val="Aptos Narrow"/>
      <family val="2"/>
      <scheme val="minor"/>
    </font>
    <font>
      <b/>
      <sz val="11"/>
      <color theme="0"/>
      <name val="Calibri"/>
      <family val="2"/>
    </font>
    <font>
      <b/>
      <sz val="12"/>
      <color theme="0"/>
      <name val="Aptos"/>
      <family val="2"/>
    </font>
    <font>
      <sz val="12"/>
      <color theme="0"/>
      <name val="Aptos"/>
      <family val="2"/>
    </font>
    <font>
      <sz val="12"/>
      <name val="Aptos"/>
      <family val="2"/>
    </font>
    <font>
      <sz val="9"/>
      <name val="Aptos"/>
      <family val="2"/>
    </font>
  </fonts>
  <fills count="9">
    <fill>
      <patternFill patternType="none"/>
    </fill>
    <fill>
      <patternFill patternType="gray125"/>
    </fill>
    <fill>
      <patternFill patternType="solid">
        <fgColor rgb="FFFFFFCC"/>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6"/>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medium">
        <color indexed="23"/>
      </top>
      <bottom style="medium">
        <color indexed="23"/>
      </bottom>
      <diagonal/>
    </border>
    <border>
      <left/>
      <right/>
      <top style="thin">
        <color indexed="23"/>
      </top>
      <bottom style="medium">
        <color indexed="23"/>
      </bottom>
      <diagonal/>
    </border>
    <border>
      <left/>
      <right/>
      <top style="thin">
        <color indexed="23"/>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rgb="FFBFBFBF"/>
      </right>
      <top/>
      <bottom style="thin">
        <color rgb="FFBFBFBF"/>
      </bottom>
      <diagonal/>
    </border>
    <border>
      <left/>
      <right/>
      <top style="medium">
        <color indexed="23"/>
      </top>
      <bottom/>
      <diagonal/>
    </border>
    <border>
      <left/>
      <right/>
      <top/>
      <bottom style="medium">
        <color indexed="23"/>
      </bottom>
      <diagonal/>
    </border>
    <border>
      <left/>
      <right/>
      <top/>
      <bottom style="medium">
        <color indexed="64"/>
      </bottom>
      <diagonal/>
    </border>
    <border>
      <left/>
      <right/>
      <top style="medium">
        <color indexed="64"/>
      </top>
      <bottom style="thin">
        <color indexed="64"/>
      </bottom>
      <diagonal/>
    </border>
    <border>
      <left/>
      <right/>
      <top/>
      <bottom style="medium">
        <color rgb="FF000000"/>
      </bottom>
      <diagonal/>
    </border>
    <border>
      <left/>
      <right style="medium">
        <color rgb="FF000000"/>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rgb="FFFFC000"/>
      </left>
      <right/>
      <top style="thin">
        <color rgb="FFFFC000"/>
      </top>
      <bottom style="thin">
        <color rgb="FFFFC000"/>
      </bottom>
      <diagonal/>
    </border>
    <border>
      <left/>
      <right/>
      <top style="thin">
        <color rgb="FFFFC000"/>
      </top>
      <bottom style="thin">
        <color rgb="FFFFC000"/>
      </bottom>
      <diagonal/>
    </border>
    <border>
      <left/>
      <right style="thin">
        <color rgb="FFFFC000"/>
      </right>
      <top style="thin">
        <color rgb="FFFFC000"/>
      </top>
      <bottom style="thin">
        <color rgb="FFFFC000"/>
      </bottom>
      <diagonal/>
    </border>
    <border>
      <left style="thin">
        <color rgb="FFFFC000"/>
      </left>
      <right style="thin">
        <color theme="5" tint="0.39997558519241921"/>
      </right>
      <top style="thin">
        <color rgb="FFFFC000"/>
      </top>
      <bottom style="thin">
        <color rgb="FFFFC000"/>
      </bottom>
      <diagonal/>
    </border>
    <border>
      <left style="thin">
        <color theme="5" tint="0.39997558519241921"/>
      </left>
      <right/>
      <top style="thin">
        <color rgb="FFFFC000"/>
      </top>
      <bottom style="thin">
        <color rgb="FFFFC000"/>
      </bottom>
      <diagonal/>
    </border>
    <border>
      <left/>
      <right style="thin">
        <color theme="5" tint="0.39997558519241921"/>
      </right>
      <top style="thin">
        <color rgb="FFFFC000"/>
      </top>
      <bottom style="thin">
        <color rgb="FFFFC000"/>
      </bottom>
      <diagonal/>
    </border>
    <border>
      <left style="thin">
        <color theme="5" tint="0.39997558519241921"/>
      </left>
      <right/>
      <top style="thin">
        <color rgb="FFFFC000"/>
      </top>
      <bottom style="thin">
        <color theme="5" tint="0.39997558519241921"/>
      </bottom>
      <diagonal/>
    </border>
    <border>
      <left/>
      <right style="thin">
        <color rgb="FFFFC000"/>
      </right>
      <top style="thin">
        <color rgb="FFFFC000"/>
      </top>
      <bottom style="thin">
        <color theme="5" tint="0.3999755851924192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140">
    <xf numFmtId="0" fontId="0" fillId="0" borderId="0" xfId="0"/>
    <xf numFmtId="0" fontId="0" fillId="0" borderId="1" xfId="0" applyBorder="1"/>
    <xf numFmtId="164" fontId="0" fillId="0" borderId="0" xfId="0" applyNumberFormat="1"/>
    <xf numFmtId="17" fontId="0" fillId="0" borderId="0" xfId="0" applyNumberFormat="1"/>
    <xf numFmtId="0" fontId="2" fillId="0" borderId="0" xfId="0" applyFont="1"/>
    <xf numFmtId="0" fontId="9" fillId="0" borderId="7" xfId="0" applyFont="1" applyBorder="1" applyAlignment="1">
      <alignment vertical="center" wrapText="1"/>
    </xf>
    <xf numFmtId="0" fontId="10" fillId="0" borderId="8" xfId="0" applyFont="1" applyBorder="1" applyAlignment="1">
      <alignment vertical="center" wrapText="1"/>
    </xf>
    <xf numFmtId="0" fontId="7" fillId="0" borderId="0" xfId="0" applyFont="1" applyAlignment="1">
      <alignment horizontal="center" wrapText="1"/>
    </xf>
    <xf numFmtId="0" fontId="8" fillId="0" borderId="7" xfId="0" applyFont="1" applyBorder="1" applyAlignment="1">
      <alignment vertical="center" wrapText="1"/>
    </xf>
    <xf numFmtId="165" fontId="10" fillId="0" borderId="8" xfId="0" applyNumberFormat="1" applyFont="1" applyBorder="1" applyAlignment="1">
      <alignment vertical="center" wrapText="1"/>
    </xf>
    <xf numFmtId="0" fontId="0" fillId="0" borderId="9" xfId="0" applyBorder="1"/>
    <xf numFmtId="0" fontId="2" fillId="0" borderId="10" xfId="0" applyFont="1" applyBorder="1" applyAlignment="1">
      <alignment horizontal="left"/>
    </xf>
    <xf numFmtId="0" fontId="2" fillId="0" borderId="11" xfId="0" applyFont="1" applyBorder="1"/>
    <xf numFmtId="0" fontId="2" fillId="0" borderId="11" xfId="0" applyFont="1" applyBorder="1" applyAlignment="1">
      <alignment horizontal="right"/>
    </xf>
    <xf numFmtId="0" fontId="0" fillId="0" borderId="11" xfId="0" applyBorder="1"/>
    <xf numFmtId="0" fontId="12" fillId="0" borderId="11" xfId="0" applyFont="1" applyBorder="1" applyAlignment="1">
      <alignment horizontal="left" vertical="center"/>
    </xf>
    <xf numFmtId="0" fontId="0" fillId="0" borderId="12" xfId="0" applyBorder="1"/>
    <xf numFmtId="0" fontId="13" fillId="0" borderId="13" xfId="0" applyFont="1" applyBorder="1"/>
    <xf numFmtId="0" fontId="0" fillId="0" borderId="0" xfId="0" applyAlignment="1">
      <alignment horizontal="center"/>
    </xf>
    <xf numFmtId="0" fontId="0" fillId="0" borderId="0" xfId="0" applyAlignment="1">
      <alignment wrapText="1"/>
    </xf>
    <xf numFmtId="0" fontId="0" fillId="0" borderId="14" xfId="0" applyBorder="1"/>
    <xf numFmtId="0" fontId="17" fillId="0" borderId="14" xfId="0" applyFont="1" applyBorder="1"/>
    <xf numFmtId="0" fontId="0" fillId="0" borderId="15" xfId="0" applyBorder="1"/>
    <xf numFmtId="0" fontId="0" fillId="0" borderId="16" xfId="0" applyBorder="1"/>
    <xf numFmtId="0" fontId="0" fillId="0" borderId="1" xfId="0" applyBorder="1" applyAlignment="1">
      <alignment horizontal="center"/>
    </xf>
    <xf numFmtId="0" fontId="16" fillId="3" borderId="14" xfId="0" applyFont="1" applyFill="1" applyBorder="1" applyAlignment="1">
      <alignment horizontal="center"/>
    </xf>
    <xf numFmtId="0" fontId="16" fillId="3" borderId="1" xfId="0" applyFont="1" applyFill="1" applyBorder="1"/>
    <xf numFmtId="0" fontId="2" fillId="0" borderId="1" xfId="0" applyFont="1" applyBorder="1" applyAlignment="1">
      <alignment horizontal="center"/>
    </xf>
    <xf numFmtId="0" fontId="16" fillId="3" borderId="1" xfId="0" applyFont="1" applyFill="1" applyBorder="1" applyAlignment="1">
      <alignment horizontal="center"/>
    </xf>
    <xf numFmtId="0" fontId="2" fillId="0" borderId="0" xfId="0" applyFont="1" applyAlignment="1">
      <alignment horizontal="center"/>
    </xf>
    <xf numFmtId="0" fontId="16" fillId="3" borderId="15" xfId="0" applyFont="1" applyFill="1" applyBorder="1" applyAlignment="1">
      <alignment horizontal="center"/>
    </xf>
    <xf numFmtId="0" fontId="18" fillId="0" borderId="16" xfId="0" applyFont="1" applyBorder="1" applyAlignment="1">
      <alignment horizontal="center"/>
    </xf>
    <xf numFmtId="0" fontId="0" fillId="0" borderId="18" xfId="0" applyBorder="1"/>
    <xf numFmtId="164" fontId="0" fillId="0" borderId="15" xfId="0" applyNumberFormat="1" applyBorder="1"/>
    <xf numFmtId="0" fontId="14" fillId="0" borderId="19" xfId="0" applyFont="1" applyBorder="1"/>
    <xf numFmtId="0" fontId="19" fillId="3" borderId="1" xfId="0" applyFont="1" applyFill="1" applyBorder="1" applyAlignment="1">
      <alignment horizontal="center"/>
    </xf>
    <xf numFmtId="0" fontId="2" fillId="0" borderId="16" xfId="0" applyFont="1" applyBorder="1" applyAlignment="1">
      <alignment horizontal="center"/>
    </xf>
    <xf numFmtId="0" fontId="2" fillId="0" borderId="14" xfId="0" applyFont="1" applyBorder="1" applyAlignment="1">
      <alignment horizontal="center"/>
    </xf>
    <xf numFmtId="0" fontId="2" fillId="4" borderId="1" xfId="0" applyFont="1" applyFill="1" applyBorder="1" applyAlignment="1">
      <alignment horizontal="center"/>
    </xf>
    <xf numFmtId="0" fontId="17" fillId="0" borderId="16" xfId="0" applyFont="1" applyBorder="1" applyAlignment="1">
      <alignment horizontal="center"/>
    </xf>
    <xf numFmtId="0" fontId="18" fillId="4" borderId="16" xfId="0" applyFont="1" applyFill="1" applyBorder="1" applyAlignment="1">
      <alignment horizontal="center"/>
    </xf>
    <xf numFmtId="0" fontId="0" fillId="0" borderId="15" xfId="0" applyBorder="1" applyAlignment="1">
      <alignment horizontal="center"/>
    </xf>
    <xf numFmtId="0" fontId="0" fillId="2" borderId="1" xfId="0" applyFill="1" applyBorder="1" applyAlignment="1">
      <alignment horizontal="center"/>
    </xf>
    <xf numFmtId="0" fontId="0" fillId="0" borderId="3" xfId="0" applyBorder="1"/>
    <xf numFmtId="0" fontId="3" fillId="0" borderId="2" xfId="0" applyFont="1" applyBorder="1" applyAlignment="1">
      <alignment horizontal="center"/>
    </xf>
    <xf numFmtId="0" fontId="0" fillId="0" borderId="4" xfId="0" applyBorder="1"/>
    <xf numFmtId="0" fontId="3" fillId="0" borderId="20" xfId="0" applyFont="1" applyBorder="1" applyAlignment="1">
      <alignment horizontal="center"/>
    </xf>
    <xf numFmtId="0" fontId="3" fillId="0" borderId="21" xfId="0" applyFont="1" applyBorder="1" applyAlignment="1">
      <alignment horizontal="center"/>
    </xf>
    <xf numFmtId="0" fontId="0" fillId="0" borderId="22" xfId="0" applyBorder="1"/>
    <xf numFmtId="0" fontId="20" fillId="0" borderId="23" xfId="0" applyFont="1" applyBorder="1" applyAlignment="1">
      <alignment horizontal="center"/>
    </xf>
    <xf numFmtId="0" fontId="20" fillId="0" borderId="23" xfId="0" applyFont="1" applyBorder="1" applyAlignment="1">
      <alignment horizontal="centerContinuous"/>
    </xf>
    <xf numFmtId="0" fontId="21" fillId="3" borderId="0" xfId="0" applyFont="1" applyFill="1" applyAlignment="1">
      <alignment horizontal="center"/>
    </xf>
    <xf numFmtId="1" fontId="0" fillId="0" borderId="0" xfId="0" applyNumberFormat="1"/>
    <xf numFmtId="1"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1" fontId="2" fillId="0" borderId="0" xfId="0" applyNumberFormat="1" applyFont="1" applyAlignment="1">
      <alignment horizontal="center"/>
    </xf>
    <xf numFmtId="1" fontId="2" fillId="4" borderId="0" xfId="0" applyNumberFormat="1" applyFont="1" applyFill="1" applyAlignment="1">
      <alignment horizontal="center"/>
    </xf>
    <xf numFmtId="0" fontId="2" fillId="4" borderId="0" xfId="0" applyFont="1" applyFill="1" applyAlignment="1">
      <alignment horizontal="center"/>
    </xf>
    <xf numFmtId="17" fontId="2" fillId="0" borderId="0" xfId="0" applyNumberFormat="1" applyFont="1" applyAlignment="1">
      <alignment horizontal="center"/>
    </xf>
    <xf numFmtId="0" fontId="9" fillId="0" borderId="8" xfId="0" applyFont="1" applyBorder="1" applyAlignment="1">
      <alignment vertical="center" wrapText="1"/>
    </xf>
    <xf numFmtId="0" fontId="10" fillId="0" borderId="24" xfId="0" applyFont="1" applyBorder="1" applyAlignment="1">
      <alignment vertical="center" wrapText="1"/>
    </xf>
    <xf numFmtId="0" fontId="8" fillId="0" borderId="8" xfId="0" applyFont="1" applyBorder="1" applyAlignment="1">
      <alignment vertical="center" wrapText="1"/>
    </xf>
    <xf numFmtId="0" fontId="8" fillId="0" borderId="24" xfId="0" applyFont="1" applyBorder="1" applyAlignment="1">
      <alignment vertical="center" wrapText="1"/>
    </xf>
    <xf numFmtId="0" fontId="9" fillId="0" borderId="25" xfId="0" applyFont="1" applyBorder="1" applyAlignment="1">
      <alignment vertical="center" wrapText="1"/>
    </xf>
    <xf numFmtId="0" fontId="10" fillId="0" borderId="25" xfId="0" applyFont="1" applyBorder="1" applyAlignment="1">
      <alignment vertical="center" wrapText="1"/>
    </xf>
    <xf numFmtId="0" fontId="10" fillId="0" borderId="0" xfId="0" applyFont="1" applyAlignment="1">
      <alignment vertical="center" wrapText="1"/>
    </xf>
    <xf numFmtId="9" fontId="2" fillId="0" borderId="0" xfId="1" applyFont="1"/>
    <xf numFmtId="0" fontId="16" fillId="3" borderId="0" xfId="0" applyFont="1" applyFill="1"/>
    <xf numFmtId="166" fontId="16" fillId="3" borderId="0" xfId="0" applyNumberFormat="1" applyFont="1" applyFill="1"/>
    <xf numFmtId="0" fontId="22" fillId="0" borderId="8" xfId="0" applyFont="1" applyBorder="1" applyAlignment="1">
      <alignment vertical="center" wrapText="1"/>
    </xf>
    <xf numFmtId="0" fontId="23" fillId="0" borderId="8" xfId="0" applyFont="1" applyBorder="1" applyAlignment="1">
      <alignment vertical="center" wrapText="1"/>
    </xf>
    <xf numFmtId="0" fontId="23" fillId="0" borderId="24" xfId="0" applyFont="1" applyBorder="1" applyAlignment="1">
      <alignment vertical="center" wrapText="1"/>
    </xf>
    <xf numFmtId="0" fontId="24" fillId="0" borderId="25" xfId="0" applyFont="1" applyBorder="1" applyAlignment="1">
      <alignment vertical="center" wrapText="1"/>
    </xf>
    <xf numFmtId="164" fontId="25" fillId="0" borderId="25" xfId="0" applyNumberFormat="1" applyFont="1" applyBorder="1" applyAlignment="1">
      <alignment vertical="center" wrapText="1"/>
    </xf>
    <xf numFmtId="164" fontId="25" fillId="0" borderId="0" xfId="0" applyNumberFormat="1" applyFont="1" applyAlignment="1">
      <alignment vertical="center" wrapText="1"/>
    </xf>
    <xf numFmtId="0" fontId="0" fillId="0" borderId="26" xfId="0" applyBorder="1"/>
    <xf numFmtId="0" fontId="0" fillId="0" borderId="27" xfId="0" applyBorder="1"/>
    <xf numFmtId="0" fontId="0" fillId="0" borderId="28" xfId="0" applyBorder="1"/>
    <xf numFmtId="0" fontId="4" fillId="0" borderId="29" xfId="0" applyFont="1" applyBorder="1"/>
    <xf numFmtId="0" fontId="4" fillId="0" borderId="30" xfId="0" applyFont="1" applyBorder="1"/>
    <xf numFmtId="0" fontId="2" fillId="5" borderId="1" xfId="0" applyFont="1" applyFill="1" applyBorder="1" applyAlignment="1">
      <alignment horizontal="center"/>
    </xf>
    <xf numFmtId="0" fontId="2" fillId="6" borderId="1" xfId="0" applyFont="1" applyFill="1" applyBorder="1" applyAlignment="1">
      <alignment horizontal="center"/>
    </xf>
    <xf numFmtId="0" fontId="16" fillId="3" borderId="31" xfId="0" applyFont="1" applyFill="1" applyBorder="1"/>
    <xf numFmtId="0" fontId="2" fillId="0" borderId="31" xfId="0" applyFont="1" applyBorder="1" applyAlignment="1">
      <alignment horizontal="center"/>
    </xf>
    <xf numFmtId="0" fontId="0" fillId="2" borderId="1" xfId="0" applyFill="1" applyBorder="1"/>
    <xf numFmtId="0" fontId="19" fillId="3" borderId="0" xfId="0" applyFont="1" applyFill="1"/>
    <xf numFmtId="0" fontId="0" fillId="2" borderId="0" xfId="0" applyFill="1"/>
    <xf numFmtId="0" fontId="0" fillId="2" borderId="35" xfId="0" applyFill="1" applyBorder="1"/>
    <xf numFmtId="166" fontId="0" fillId="7" borderId="0" xfId="0" applyNumberFormat="1" applyFill="1"/>
    <xf numFmtId="1" fontId="0" fillId="7" borderId="0" xfId="0" applyNumberFormat="1" applyFill="1"/>
    <xf numFmtId="0" fontId="2" fillId="2" borderId="35" xfId="0" applyFont="1" applyFill="1" applyBorder="1"/>
    <xf numFmtId="17" fontId="0" fillId="0" borderId="0" xfId="0" applyNumberFormat="1" applyAlignment="1">
      <alignment horizontal="center"/>
    </xf>
    <xf numFmtId="0" fontId="5" fillId="0" borderId="1" xfId="0" applyFont="1" applyBorder="1" applyAlignment="1">
      <alignment horizontal="center" vertical="top" wrapText="1"/>
    </xf>
    <xf numFmtId="0" fontId="5" fillId="0" borderId="1" xfId="0" applyFont="1" applyBorder="1" applyAlignment="1">
      <alignment horizontal="center" vertical="top"/>
    </xf>
    <xf numFmtId="0" fontId="5" fillId="0" borderId="1" xfId="0" applyFont="1" applyBorder="1" applyAlignment="1">
      <alignment horizontal="center" vertical="center" wrapText="1"/>
    </xf>
    <xf numFmtId="0" fontId="6" fillId="0" borderId="0" xfId="0" applyFont="1" applyAlignment="1">
      <alignment horizontal="center"/>
    </xf>
    <xf numFmtId="0" fontId="11" fillId="0" borderId="0" xfId="0" applyFont="1" applyAlignment="1">
      <alignment horizontal="center"/>
    </xf>
    <xf numFmtId="0" fontId="16" fillId="3" borderId="1" xfId="0" applyFont="1" applyFill="1" applyBorder="1" applyAlignment="1">
      <alignment horizontal="center"/>
    </xf>
    <xf numFmtId="0" fontId="7" fillId="0" borderId="0" xfId="0" applyFont="1" applyAlignment="1">
      <alignment horizontal="center"/>
    </xf>
    <xf numFmtId="0" fontId="16" fillId="3" borderId="17" xfId="0" applyFont="1" applyFill="1" applyBorder="1" applyAlignment="1">
      <alignment horizontal="center"/>
    </xf>
    <xf numFmtId="0" fontId="16" fillId="3" borderId="14" xfId="0" applyFont="1" applyFill="1" applyBorder="1" applyAlignment="1">
      <alignment horizontal="center"/>
    </xf>
    <xf numFmtId="0" fontId="16" fillId="3" borderId="1" xfId="0" applyFont="1" applyFill="1" applyBorder="1" applyAlignment="1">
      <alignment horizontal="center" wrapText="1"/>
    </xf>
    <xf numFmtId="0" fontId="2" fillId="2" borderId="0" xfId="0" applyFont="1" applyFill="1" applyAlignment="1">
      <alignment horizontal="center"/>
    </xf>
    <xf numFmtId="164" fontId="0" fillId="7" borderId="32" xfId="0" applyNumberFormat="1" applyFill="1" applyBorder="1" applyAlignment="1">
      <alignment horizontal="center"/>
    </xf>
    <xf numFmtId="164" fontId="0" fillId="7" borderId="34" xfId="0" applyNumberFormat="1" applyFill="1" applyBorder="1" applyAlignment="1">
      <alignment horizontal="center"/>
    </xf>
    <xf numFmtId="164" fontId="0" fillId="7" borderId="37" xfId="0" applyNumberFormat="1" applyFill="1" applyBorder="1" applyAlignment="1">
      <alignment horizontal="center"/>
    </xf>
    <xf numFmtId="166" fontId="0" fillId="7" borderId="32" xfId="0" applyNumberFormat="1" applyFill="1" applyBorder="1" applyAlignment="1">
      <alignment horizontal="center"/>
    </xf>
    <xf numFmtId="166" fontId="0" fillId="7" borderId="34" xfId="0" applyNumberFormat="1" applyFill="1" applyBorder="1" applyAlignment="1">
      <alignment horizontal="center"/>
    </xf>
    <xf numFmtId="0" fontId="2" fillId="2" borderId="0" xfId="0" applyFont="1" applyFill="1" applyAlignment="1">
      <alignment horizontal="left"/>
    </xf>
    <xf numFmtId="0" fontId="2" fillId="0" borderId="0" xfId="0" applyFont="1" applyAlignment="1">
      <alignment horizontal="left"/>
    </xf>
    <xf numFmtId="0" fontId="0" fillId="7" borderId="36" xfId="0" applyFill="1" applyBorder="1" applyAlignment="1">
      <alignment horizontal="center"/>
    </xf>
    <xf numFmtId="0" fontId="0" fillId="7" borderId="37" xfId="0" applyFill="1" applyBorder="1" applyAlignment="1">
      <alignment horizontal="center"/>
    </xf>
    <xf numFmtId="9" fontId="0" fillId="7" borderId="36" xfId="1" applyFont="1" applyFill="1" applyBorder="1" applyAlignment="1">
      <alignment horizontal="center"/>
    </xf>
    <xf numFmtId="9" fontId="0" fillId="7" borderId="34" xfId="1" applyFont="1" applyFill="1" applyBorder="1" applyAlignment="1">
      <alignment horizontal="center"/>
    </xf>
    <xf numFmtId="167" fontId="0" fillId="7" borderId="36" xfId="1" applyNumberFormat="1" applyFont="1" applyFill="1" applyBorder="1" applyAlignment="1">
      <alignment horizontal="center"/>
    </xf>
    <xf numFmtId="167" fontId="0" fillId="7" borderId="34" xfId="1" applyNumberFormat="1" applyFont="1" applyFill="1" applyBorder="1" applyAlignment="1">
      <alignment horizontal="center"/>
    </xf>
    <xf numFmtId="167" fontId="0" fillId="7" borderId="38" xfId="1" applyNumberFormat="1" applyFont="1" applyFill="1" applyBorder="1" applyAlignment="1">
      <alignment horizontal="center"/>
    </xf>
    <xf numFmtId="167" fontId="0" fillId="7" borderId="39" xfId="1" applyNumberFormat="1" applyFont="1" applyFill="1" applyBorder="1" applyAlignment="1">
      <alignment horizontal="center"/>
    </xf>
    <xf numFmtId="0" fontId="2" fillId="2" borderId="32" xfId="0" applyFont="1" applyFill="1" applyBorder="1" applyAlignment="1">
      <alignment horizontal="center"/>
    </xf>
    <xf numFmtId="0" fontId="2" fillId="2" borderId="34" xfId="0" applyFont="1" applyFill="1" applyBorder="1" applyAlignment="1">
      <alignment horizontal="center"/>
    </xf>
    <xf numFmtId="166" fontId="0" fillId="7" borderId="33" xfId="0" applyNumberFormat="1" applyFill="1" applyBorder="1" applyAlignment="1">
      <alignment horizontal="center"/>
    </xf>
    <xf numFmtId="166" fontId="0" fillId="7" borderId="36" xfId="0" applyNumberFormat="1" applyFill="1" applyBorder="1" applyAlignment="1">
      <alignment horizontal="center"/>
    </xf>
    <xf numFmtId="9" fontId="0" fillId="7" borderId="32" xfId="1" applyFont="1" applyFill="1" applyBorder="1" applyAlignment="1">
      <alignment horizontal="center"/>
    </xf>
    <xf numFmtId="167" fontId="0" fillId="7" borderId="32" xfId="1" applyNumberFormat="1" applyFont="1" applyFill="1" applyBorder="1" applyAlignment="1">
      <alignment horizontal="center"/>
    </xf>
    <xf numFmtId="0" fontId="2" fillId="2" borderId="33" xfId="0" applyFont="1" applyFill="1" applyBorder="1" applyAlignment="1">
      <alignment horizontal="center"/>
    </xf>
    <xf numFmtId="0" fontId="2" fillId="2" borderId="36" xfId="0" applyFont="1" applyFill="1" applyBorder="1" applyAlignment="1">
      <alignment horizontal="center"/>
    </xf>
    <xf numFmtId="0" fontId="2" fillId="2" borderId="37" xfId="0" applyFont="1" applyFill="1" applyBorder="1" applyAlignment="1">
      <alignment horizontal="center"/>
    </xf>
    <xf numFmtId="1" fontId="0" fillId="7" borderId="32" xfId="0" applyNumberFormat="1" applyFill="1" applyBorder="1" applyAlignment="1">
      <alignment horizontal="center"/>
    </xf>
    <xf numFmtId="1" fontId="0" fillId="7" borderId="33" xfId="0" applyNumberFormat="1" applyFill="1" applyBorder="1" applyAlignment="1">
      <alignment horizontal="center"/>
    </xf>
    <xf numFmtId="1" fontId="0" fillId="7" borderId="34" xfId="0" applyNumberFormat="1" applyFill="1" applyBorder="1" applyAlignment="1">
      <alignment horizontal="center"/>
    </xf>
    <xf numFmtId="1" fontId="0" fillId="7" borderId="37" xfId="0" applyNumberFormat="1" applyFill="1" applyBorder="1" applyAlignment="1">
      <alignment horizontal="center"/>
    </xf>
    <xf numFmtId="0" fontId="16" fillId="8" borderId="1" xfId="0" applyFont="1" applyFill="1" applyBorder="1"/>
    <xf numFmtId="2" fontId="16" fillId="8" borderId="1" xfId="0" applyNumberFormat="1" applyFont="1" applyFill="1" applyBorder="1"/>
    <xf numFmtId="0" fontId="22" fillId="8" borderId="5" xfId="0" applyFont="1" applyFill="1" applyBorder="1" applyAlignment="1">
      <alignment vertical="center" wrapText="1"/>
    </xf>
    <xf numFmtId="0" fontId="22" fillId="8" borderId="6" xfId="0" applyFont="1" applyFill="1" applyBorder="1" applyAlignment="1">
      <alignment vertical="center" wrapText="1"/>
    </xf>
    <xf numFmtId="17" fontId="2" fillId="0" borderId="0" xfId="0" applyNumberFormat="1" applyFont="1"/>
    <xf numFmtId="0" fontId="0" fillId="0" borderId="40" xfId="0" applyBorder="1"/>
    <xf numFmtId="0" fontId="2" fillId="0" borderId="1" xfId="0" applyFont="1" applyBorder="1"/>
    <xf numFmtId="0" fontId="2" fillId="0" borderId="0" xfId="0" applyFont="1" applyAlignment="1"/>
  </cellXfs>
  <cellStyles count="2">
    <cellStyle name="Normal" xfId="0" builtinId="0"/>
    <cellStyle name="Porcentaje" xfId="1" builtinId="5"/>
  </cellStyles>
  <dxfs count="110">
    <dxf>
      <numFmt numFmtId="166" formatCode="0.000"/>
      <fill>
        <patternFill patternType="solid">
          <fgColor indexed="64"/>
          <bgColor theme="0"/>
        </patternFill>
      </fill>
    </dxf>
    <dxf>
      <fill>
        <patternFill patternType="solid">
          <fgColor indexed="64"/>
          <bgColor rgb="FFFFFFCC"/>
        </patternFill>
      </fill>
    </dxf>
    <dxf>
      <fill>
        <patternFill patternType="solid">
          <fgColor indexed="64"/>
          <bgColor rgb="FFFFFFCC"/>
        </patternFill>
      </fill>
    </dxf>
    <dxf>
      <fill>
        <patternFill patternType="solid">
          <fgColor indexed="64"/>
          <bgColor rgb="FFFFFFCC"/>
        </patternFill>
      </fill>
    </dxf>
    <dxf>
      <numFmt numFmtId="166" formatCode="0.000"/>
      <fill>
        <patternFill patternType="solid">
          <fgColor indexed="64"/>
          <bgColor theme="0"/>
        </patternFill>
      </fill>
    </dxf>
    <dxf>
      <fill>
        <patternFill patternType="solid">
          <fgColor indexed="64"/>
          <bgColor rgb="FFFFFFCC"/>
        </patternFill>
      </fill>
    </dxf>
    <dxf>
      <fill>
        <patternFill patternType="solid">
          <fgColor indexed="64"/>
          <bgColor rgb="FFFFFFCC"/>
        </patternFill>
      </fill>
    </dxf>
    <dxf>
      <fill>
        <patternFill patternType="solid">
          <fgColor indexed="64"/>
          <bgColor rgb="FFFFFFCC"/>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numFmt numFmtId="166" formatCode="0.000"/>
      <fill>
        <patternFill patternType="solid">
          <fgColor indexed="64"/>
          <bgColor theme="0"/>
        </patternFill>
      </fill>
    </dxf>
    <dxf>
      <fill>
        <patternFill patternType="solid">
          <fgColor indexed="64"/>
          <bgColor rgb="FFFFFFCC"/>
        </patternFill>
      </fill>
    </dxf>
    <dxf>
      <fill>
        <patternFill patternType="solid">
          <fgColor indexed="64"/>
          <bgColor rgb="FFFFFFCC"/>
        </patternFill>
      </fill>
    </dxf>
    <dxf>
      <fill>
        <patternFill patternType="solid">
          <fgColor indexed="64"/>
          <bgColor rgb="FFFFFFCC"/>
        </patternFill>
      </fill>
    </dxf>
    <dxf>
      <font>
        <b/>
      </font>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right style="medium">
          <color indexed="64"/>
        </right>
        <top style="medium">
          <color indexed="64"/>
        </top>
        <bottom style="medium">
          <color indexed="64"/>
        </bottom>
        <vertical/>
        <horizontal/>
      </border>
    </dxf>
    <dxf>
      <border outline="0">
        <bottom style="medium">
          <color indexed="64"/>
        </bottom>
      </border>
    </dxf>
    <dxf>
      <border outline="0">
        <left style="medium">
          <color indexed="64"/>
        </left>
        <top style="medium">
          <color indexed="64"/>
        </top>
        <bottom style="medium">
          <color indexed="64"/>
        </bottom>
      </border>
    </dxf>
    <dxf>
      <border diagonalUp="0" diagonalDown="0" outline="0">
        <left style="medium">
          <color indexed="64"/>
        </left>
        <right style="medium">
          <color indexed="64"/>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9"/>
        <color auto="1"/>
        <name val="Aptos"/>
        <family val="2"/>
        <scheme val="none"/>
      </font>
      <numFmt numFmtId="164" formatCode="0.0"/>
      <alignment horizontal="general"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12"/>
        <color auto="1"/>
        <name val="Aptos"/>
        <family val="2"/>
        <scheme val="none"/>
      </font>
      <alignment horizontal="general" vertical="center" textRotation="0" wrapText="1" indent="0" justifyLastLine="0" shrinkToFit="0" readingOrder="0"/>
      <border diagonalUp="0" diagonalDown="0" outline="0">
        <left/>
        <right style="medium">
          <color rgb="FF000000"/>
        </right>
        <top/>
        <bottom/>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auto="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0"/>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numFmt numFmtId="1" formatCode="0"/>
    </dxf>
    <dxf>
      <numFmt numFmtId="164" formatCode="0.0"/>
    </dxf>
    <dxf>
      <numFmt numFmtId="164" formatCode="0.0"/>
    </dxf>
    <dxf>
      <font>
        <b/>
      </font>
      <numFmt numFmtId="1" formatCode="0"/>
      <alignment horizontal="center" vertical="bottom" textRotation="0" wrapText="0" indent="0" justifyLastLine="0" shrinkToFit="0" readingOrder="0"/>
    </dxf>
    <dxf>
      <font>
        <b/>
      </font>
      <numFmt numFmtId="1" formatCode="0"/>
      <fill>
        <patternFill patternType="solid">
          <fgColor indexed="64"/>
          <bgColor theme="9" tint="0.79998168889431442"/>
        </patternFill>
      </fill>
      <alignment horizontal="center" vertical="bottom" textRotation="0" wrapText="0" indent="0" justifyLastLine="0" shrinkToFit="0" readingOrder="0"/>
    </dxf>
    <dxf>
      <font>
        <b/>
      </font>
      <numFmt numFmtId="1" formatCode="0"/>
      <fill>
        <patternFill patternType="solid">
          <fgColor indexed="64"/>
          <bgColor theme="9" tint="0.79998168889431442"/>
        </patternFill>
      </fill>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numFmt numFmtId="22" formatCode="mmm\-yy"/>
      <alignment horizontal="center" vertical="bottom" textRotation="0" wrapText="0" indent="0" justifyLastLine="0" shrinkToFit="0" readingOrder="0"/>
    </dxf>
    <dxf>
      <font>
        <b/>
      </font>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1"/>
        <color theme="0"/>
        <name val="Aptos Narrow"/>
        <family val="2"/>
        <scheme val="minor"/>
      </font>
      <fill>
        <patternFill patternType="solid">
          <fgColor indexed="64"/>
          <bgColor theme="9" tint="-0.49998474074526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border diagonalUp="0" diagonalDown="0" outline="0">
        <left/>
        <right/>
        <top/>
        <bottom/>
      </border>
    </dxf>
    <dxf>
      <font>
        <b/>
        <i val="0"/>
        <strike val="0"/>
        <condense val="0"/>
        <extend val="0"/>
        <outline val="0"/>
        <shadow val="0"/>
        <u val="none"/>
        <vertAlign val="baseline"/>
        <sz val="11"/>
        <color theme="0"/>
        <name val="Calibri"/>
        <family val="2"/>
        <scheme val="none"/>
      </font>
      <fill>
        <patternFill patternType="solid">
          <fgColor indexed="64"/>
          <bgColor theme="9" tint="-0.49998474074526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Modelo</a:t>
            </a:r>
            <a:r>
              <a:rPr lang="es-AR" baseline="0"/>
              <a:t> de Pronóstico</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v>Demanda Histórica</c:v>
          </c:tx>
          <c:spPr>
            <a:ln w="28575" cap="rnd">
              <a:solidFill>
                <a:schemeClr val="accent2">
                  <a:lumMod val="75000"/>
                </a:schemeClr>
              </a:solidFill>
              <a:round/>
            </a:ln>
            <a:effectLst/>
          </c:spPr>
          <c:marker>
            <c:symbol val="none"/>
          </c:marker>
          <c:dPt>
            <c:idx val="50"/>
            <c:marker>
              <c:symbol val="none"/>
            </c:marker>
            <c:bubble3D val="0"/>
            <c:spPr>
              <a:ln w="28575" cap="rnd">
                <a:solidFill>
                  <a:schemeClr val="accent2">
                    <a:lumMod val="75000"/>
                  </a:schemeClr>
                </a:solidFill>
                <a:round/>
              </a:ln>
              <a:effectLst/>
            </c:spPr>
            <c:extLst>
              <c:ext xmlns:c16="http://schemas.microsoft.com/office/drawing/2014/chart" uri="{C3380CC4-5D6E-409C-BE32-E72D297353CC}">
                <c16:uniqueId val="{00000003-A6C3-4F93-BD19-03C63E4C22BD}"/>
              </c:ext>
            </c:extLst>
          </c:dPt>
          <c:cat>
            <c:strRef>
              <c:f>MODELOPRONOSTICO!$A$7:$A$102</c:f>
              <c:strCache>
                <c:ptCount val="96"/>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pt idx="12">
                  <c:v>Jan-20</c:v>
                </c:pt>
                <c:pt idx="13">
                  <c:v>Feb-20</c:v>
                </c:pt>
                <c:pt idx="14">
                  <c:v>Mar-20</c:v>
                </c:pt>
                <c:pt idx="15">
                  <c:v>Apr-20</c:v>
                </c:pt>
                <c:pt idx="16">
                  <c:v>May-20</c:v>
                </c:pt>
                <c:pt idx="17">
                  <c:v>Jun-20</c:v>
                </c:pt>
                <c:pt idx="18">
                  <c:v>Jul-20</c:v>
                </c:pt>
                <c:pt idx="19">
                  <c:v>Aug-20</c:v>
                </c:pt>
                <c:pt idx="20">
                  <c:v>Sep-20</c:v>
                </c:pt>
                <c:pt idx="21">
                  <c:v>Oct-20</c:v>
                </c:pt>
                <c:pt idx="22">
                  <c:v>Nov-20</c:v>
                </c:pt>
                <c:pt idx="23">
                  <c:v>Dec-20</c:v>
                </c:pt>
                <c:pt idx="24">
                  <c:v>Jan-21</c:v>
                </c:pt>
                <c:pt idx="25">
                  <c:v>Feb-21</c:v>
                </c:pt>
                <c:pt idx="26">
                  <c:v>Mar-21</c:v>
                </c:pt>
                <c:pt idx="27">
                  <c:v>Apr-21</c:v>
                </c:pt>
                <c:pt idx="28">
                  <c:v>May-21</c:v>
                </c:pt>
                <c:pt idx="29">
                  <c:v>Jun-21</c:v>
                </c:pt>
                <c:pt idx="30">
                  <c:v>Jul-21</c:v>
                </c:pt>
                <c:pt idx="31">
                  <c:v>Aug-21</c:v>
                </c:pt>
                <c:pt idx="32">
                  <c:v>Sep-21</c:v>
                </c:pt>
                <c:pt idx="33">
                  <c:v>Oct-21</c:v>
                </c:pt>
                <c:pt idx="34">
                  <c:v>Nov-21</c:v>
                </c:pt>
                <c:pt idx="35">
                  <c:v>Dec-21</c:v>
                </c:pt>
                <c:pt idx="36">
                  <c:v>Jan-22</c:v>
                </c:pt>
                <c:pt idx="37">
                  <c:v>Feb-22</c:v>
                </c:pt>
                <c:pt idx="38">
                  <c:v>Mar-22</c:v>
                </c:pt>
                <c:pt idx="39">
                  <c:v>Apr-22</c:v>
                </c:pt>
                <c:pt idx="40">
                  <c:v>May-22</c:v>
                </c:pt>
                <c:pt idx="41">
                  <c:v>Jun-22</c:v>
                </c:pt>
                <c:pt idx="42">
                  <c:v>Jul-22</c:v>
                </c:pt>
                <c:pt idx="43">
                  <c:v>Aug-22</c:v>
                </c:pt>
                <c:pt idx="44">
                  <c:v>Sep-22</c:v>
                </c:pt>
                <c:pt idx="45">
                  <c:v>Oct-22</c:v>
                </c:pt>
                <c:pt idx="46">
                  <c:v>Nov-22</c:v>
                </c:pt>
                <c:pt idx="47">
                  <c:v>Dec-22</c:v>
                </c:pt>
                <c:pt idx="48">
                  <c:v>Jan-23</c:v>
                </c:pt>
                <c:pt idx="49">
                  <c:v>Feb-23</c:v>
                </c:pt>
                <c:pt idx="50">
                  <c:v>Mar-23</c:v>
                </c:pt>
                <c:pt idx="51">
                  <c:v>Apr-23</c:v>
                </c:pt>
                <c:pt idx="52">
                  <c:v>May-23</c:v>
                </c:pt>
                <c:pt idx="53">
                  <c:v>Jun-23</c:v>
                </c:pt>
                <c:pt idx="54">
                  <c:v>Jul-23</c:v>
                </c:pt>
                <c:pt idx="55">
                  <c:v>Aug-23</c:v>
                </c:pt>
                <c:pt idx="56">
                  <c:v>Sep-23</c:v>
                </c:pt>
                <c:pt idx="57">
                  <c:v>Oct-23</c:v>
                </c:pt>
                <c:pt idx="58">
                  <c:v>Nov-23</c:v>
                </c:pt>
                <c:pt idx="59">
                  <c:v>Dec-23</c:v>
                </c:pt>
                <c:pt idx="60">
                  <c:v>Jan-24</c:v>
                </c:pt>
                <c:pt idx="61">
                  <c:v>Feb-24</c:v>
                </c:pt>
                <c:pt idx="62">
                  <c:v>Mar-24</c:v>
                </c:pt>
                <c:pt idx="63">
                  <c:v>Apr-24</c:v>
                </c:pt>
                <c:pt idx="64">
                  <c:v>May-24</c:v>
                </c:pt>
                <c:pt idx="65">
                  <c:v>Jun-24</c:v>
                </c:pt>
                <c:pt idx="66">
                  <c:v>Jul-24</c:v>
                </c:pt>
                <c:pt idx="67">
                  <c:v>Aug-24</c:v>
                </c:pt>
                <c:pt idx="68">
                  <c:v>Sep-24</c:v>
                </c:pt>
                <c:pt idx="69">
                  <c:v>Oct-24</c:v>
                </c:pt>
                <c:pt idx="70">
                  <c:v>Nov-24</c:v>
                </c:pt>
                <c:pt idx="71">
                  <c:v>Dec-24</c:v>
                </c:pt>
                <c:pt idx="72">
                  <c:v>Jan-25</c:v>
                </c:pt>
                <c:pt idx="73">
                  <c:v>Feb-25</c:v>
                </c:pt>
                <c:pt idx="74">
                  <c:v>Mar-25</c:v>
                </c:pt>
                <c:pt idx="75">
                  <c:v>Apr-25</c:v>
                </c:pt>
                <c:pt idx="76">
                  <c:v>may-25</c:v>
                </c:pt>
                <c:pt idx="77">
                  <c:v>Jun-25</c:v>
                </c:pt>
                <c:pt idx="78">
                  <c:v>Jul-25</c:v>
                </c:pt>
                <c:pt idx="79">
                  <c:v>Aug-25</c:v>
                </c:pt>
                <c:pt idx="80">
                  <c:v>Sep-25</c:v>
                </c:pt>
                <c:pt idx="81">
                  <c:v>Oct-25</c:v>
                </c:pt>
                <c:pt idx="82">
                  <c:v>Nov-25</c:v>
                </c:pt>
                <c:pt idx="83">
                  <c:v>Dec-25</c:v>
                </c:pt>
                <c:pt idx="84">
                  <c:v>Ene-27</c:v>
                </c:pt>
                <c:pt idx="85">
                  <c:v>Feb-27</c:v>
                </c:pt>
                <c:pt idx="86">
                  <c:v>Mar-27</c:v>
                </c:pt>
                <c:pt idx="87">
                  <c:v>Abr-27</c:v>
                </c:pt>
                <c:pt idx="88">
                  <c:v>May-27</c:v>
                </c:pt>
                <c:pt idx="89">
                  <c:v>Jun-27</c:v>
                </c:pt>
                <c:pt idx="90">
                  <c:v>Jul-27</c:v>
                </c:pt>
                <c:pt idx="91">
                  <c:v>Ago-27</c:v>
                </c:pt>
                <c:pt idx="92">
                  <c:v>Sep-27</c:v>
                </c:pt>
                <c:pt idx="93">
                  <c:v>Oct-27</c:v>
                </c:pt>
                <c:pt idx="94">
                  <c:v>Nov-27</c:v>
                </c:pt>
                <c:pt idx="95">
                  <c:v>Dic-27</c:v>
                </c:pt>
              </c:strCache>
            </c:strRef>
          </c:cat>
          <c:val>
            <c:numRef>
              <c:f>MODELOPRONOSTICO!$B$7:$B$102</c:f>
              <c:numCache>
                <c:formatCode>0</c:formatCode>
                <c:ptCount val="96"/>
                <c:pt idx="0">
                  <c:v>261.36</c:v>
                </c:pt>
                <c:pt idx="1">
                  <c:v>241.24</c:v>
                </c:pt>
                <c:pt idx="2">
                  <c:v>207.37</c:v>
                </c:pt>
                <c:pt idx="3">
                  <c:v>189.23</c:v>
                </c:pt>
                <c:pt idx="4">
                  <c:v>199.29</c:v>
                </c:pt>
                <c:pt idx="5">
                  <c:v>203.55</c:v>
                </c:pt>
                <c:pt idx="6">
                  <c:v>220.64</c:v>
                </c:pt>
                <c:pt idx="7">
                  <c:v>204.59</c:v>
                </c:pt>
                <c:pt idx="8">
                  <c:v>192.14</c:v>
                </c:pt>
                <c:pt idx="9">
                  <c:v>227.14</c:v>
                </c:pt>
                <c:pt idx="10">
                  <c:v>248.91</c:v>
                </c:pt>
                <c:pt idx="11">
                  <c:v>271.93</c:v>
                </c:pt>
                <c:pt idx="12">
                  <c:v>285.08999999999997</c:v>
                </c:pt>
                <c:pt idx="13">
                  <c:v>232.23</c:v>
                </c:pt>
                <c:pt idx="14">
                  <c:v>265.17</c:v>
                </c:pt>
                <c:pt idx="15">
                  <c:v>184.11</c:v>
                </c:pt>
                <c:pt idx="16">
                  <c:v>188.35</c:v>
                </c:pt>
                <c:pt idx="17">
                  <c:v>205.22</c:v>
                </c:pt>
                <c:pt idx="18">
                  <c:v>233.79</c:v>
                </c:pt>
                <c:pt idx="19">
                  <c:v>199.99</c:v>
                </c:pt>
                <c:pt idx="20">
                  <c:v>194.21</c:v>
                </c:pt>
                <c:pt idx="21">
                  <c:v>224.49</c:v>
                </c:pt>
                <c:pt idx="22">
                  <c:v>244.96</c:v>
                </c:pt>
                <c:pt idx="23">
                  <c:v>279.83999999999997</c:v>
                </c:pt>
                <c:pt idx="24">
                  <c:v>261.85000000000002</c:v>
                </c:pt>
                <c:pt idx="25">
                  <c:v>211.49</c:v>
                </c:pt>
                <c:pt idx="26">
                  <c:v>223.69</c:v>
                </c:pt>
                <c:pt idx="27">
                  <c:v>194.39</c:v>
                </c:pt>
                <c:pt idx="28">
                  <c:v>198.08</c:v>
                </c:pt>
                <c:pt idx="29">
                  <c:v>232.77</c:v>
                </c:pt>
                <c:pt idx="30">
                  <c:v>227.66</c:v>
                </c:pt>
                <c:pt idx="31">
                  <c:v>210.21</c:v>
                </c:pt>
                <c:pt idx="32">
                  <c:v>193.99</c:v>
                </c:pt>
                <c:pt idx="33">
                  <c:v>234.73</c:v>
                </c:pt>
                <c:pt idx="34">
                  <c:v>231.8</c:v>
                </c:pt>
                <c:pt idx="35">
                  <c:v>288.91000000000003</c:v>
                </c:pt>
                <c:pt idx="36">
                  <c:v>317.12</c:v>
                </c:pt>
                <c:pt idx="37">
                  <c:v>234.96</c:v>
                </c:pt>
                <c:pt idx="38">
                  <c:v>220.59</c:v>
                </c:pt>
                <c:pt idx="39">
                  <c:v>192.5</c:v>
                </c:pt>
                <c:pt idx="40">
                  <c:v>213.56</c:v>
                </c:pt>
                <c:pt idx="41">
                  <c:v>252.91</c:v>
                </c:pt>
                <c:pt idx="42">
                  <c:v>233.81</c:v>
                </c:pt>
                <c:pt idx="43">
                  <c:v>210.66</c:v>
                </c:pt>
                <c:pt idx="44">
                  <c:v>190.44</c:v>
                </c:pt>
                <c:pt idx="45">
                  <c:v>213.23</c:v>
                </c:pt>
                <c:pt idx="46">
                  <c:v>271.68</c:v>
                </c:pt>
                <c:pt idx="47">
                  <c:v>304.97000000000003</c:v>
                </c:pt>
                <c:pt idx="48">
                  <c:v>314.45999999999998</c:v>
                </c:pt>
                <c:pt idx="49">
                  <c:v>276.31</c:v>
                </c:pt>
                <c:pt idx="50">
                  <c:v>345.2</c:v>
                </c:pt>
                <c:pt idx="51">
                  <c:v>199.79</c:v>
                </c:pt>
                <c:pt idx="52">
                  <c:v>202.94</c:v>
                </c:pt>
                <c:pt idx="53">
                  <c:v>225.29</c:v>
                </c:pt>
                <c:pt idx="54">
                  <c:v>238.37</c:v>
                </c:pt>
                <c:pt idx="55">
                  <c:v>207.99</c:v>
                </c:pt>
                <c:pt idx="56">
                  <c:v>205.21</c:v>
                </c:pt>
                <c:pt idx="57">
                  <c:v>225.92</c:v>
                </c:pt>
                <c:pt idx="58">
                  <c:v>267.3</c:v>
                </c:pt>
                <c:pt idx="59">
                  <c:v>284.05</c:v>
                </c:pt>
                <c:pt idx="60">
                  <c:v>303.57</c:v>
                </c:pt>
                <c:pt idx="61">
                  <c:v>302.39</c:v>
                </c:pt>
                <c:pt idx="62">
                  <c:v>307.87</c:v>
                </c:pt>
                <c:pt idx="63">
                  <c:v>205.97</c:v>
                </c:pt>
                <c:pt idx="64">
                  <c:v>251.95</c:v>
                </c:pt>
                <c:pt idx="65">
                  <c:v>224.89</c:v>
                </c:pt>
                <c:pt idx="66">
                  <c:v>272.49</c:v>
                </c:pt>
                <c:pt idx="67">
                  <c:v>222.98</c:v>
                </c:pt>
                <c:pt idx="68">
                  <c:v>205.33</c:v>
                </c:pt>
                <c:pt idx="69">
                  <c:v>246.51</c:v>
                </c:pt>
                <c:pt idx="70">
                  <c:v>245.85</c:v>
                </c:pt>
                <c:pt idx="71">
                  <c:v>291.49</c:v>
                </c:pt>
                <c:pt idx="72">
                  <c:v>314.5</c:v>
                </c:pt>
                <c:pt idx="73">
                  <c:v>348.59</c:v>
                </c:pt>
                <c:pt idx="74">
                  <c:v>252.36</c:v>
                </c:pt>
                <c:pt idx="75">
                  <c:v>192.04</c:v>
                </c:pt>
                <c:pt idx="76">
                  <c:v>211.53</c:v>
                </c:pt>
                <c:pt idx="77">
                  <c:v>241.7</c:v>
                </c:pt>
                <c:pt idx="78">
                  <c:v>247.78</c:v>
                </c:pt>
                <c:pt idx="79">
                  <c:v>217.54</c:v>
                </c:pt>
                <c:pt idx="80">
                  <c:v>213.9</c:v>
                </c:pt>
                <c:pt idx="81">
                  <c:v>238.93</c:v>
                </c:pt>
                <c:pt idx="82">
                  <c:v>257.05</c:v>
                </c:pt>
                <c:pt idx="83">
                  <c:v>302.49</c:v>
                </c:pt>
              </c:numCache>
            </c:numRef>
          </c:val>
          <c:smooth val="0"/>
          <c:extLst>
            <c:ext xmlns:c16="http://schemas.microsoft.com/office/drawing/2014/chart" uri="{C3380CC4-5D6E-409C-BE32-E72D297353CC}">
              <c16:uniqueId val="{00000000-A6C3-4F93-BD19-03C63E4C22BD}"/>
            </c:ext>
          </c:extLst>
        </c:ser>
        <c:ser>
          <c:idx val="1"/>
          <c:order val="1"/>
          <c:tx>
            <c:v>Pronóstico 2027</c:v>
          </c:tx>
          <c:spPr>
            <a:ln w="28575" cap="rnd">
              <a:solidFill>
                <a:schemeClr val="accent6">
                  <a:lumMod val="75000"/>
                </a:schemeClr>
              </a:solidFill>
              <a:round/>
            </a:ln>
            <a:effectLst/>
          </c:spPr>
          <c:marker>
            <c:symbol val="none"/>
          </c:marker>
          <c:cat>
            <c:strRef>
              <c:f>MODELOPRONOSTICO!$A$7:$A$102</c:f>
              <c:strCache>
                <c:ptCount val="96"/>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pt idx="12">
                  <c:v>Jan-20</c:v>
                </c:pt>
                <c:pt idx="13">
                  <c:v>Feb-20</c:v>
                </c:pt>
                <c:pt idx="14">
                  <c:v>Mar-20</c:v>
                </c:pt>
                <c:pt idx="15">
                  <c:v>Apr-20</c:v>
                </c:pt>
                <c:pt idx="16">
                  <c:v>May-20</c:v>
                </c:pt>
                <c:pt idx="17">
                  <c:v>Jun-20</c:v>
                </c:pt>
                <c:pt idx="18">
                  <c:v>Jul-20</c:v>
                </c:pt>
                <c:pt idx="19">
                  <c:v>Aug-20</c:v>
                </c:pt>
                <c:pt idx="20">
                  <c:v>Sep-20</c:v>
                </c:pt>
                <c:pt idx="21">
                  <c:v>Oct-20</c:v>
                </c:pt>
                <c:pt idx="22">
                  <c:v>Nov-20</c:v>
                </c:pt>
                <c:pt idx="23">
                  <c:v>Dec-20</c:v>
                </c:pt>
                <c:pt idx="24">
                  <c:v>Jan-21</c:v>
                </c:pt>
                <c:pt idx="25">
                  <c:v>Feb-21</c:v>
                </c:pt>
                <c:pt idx="26">
                  <c:v>Mar-21</c:v>
                </c:pt>
                <c:pt idx="27">
                  <c:v>Apr-21</c:v>
                </c:pt>
                <c:pt idx="28">
                  <c:v>May-21</c:v>
                </c:pt>
                <c:pt idx="29">
                  <c:v>Jun-21</c:v>
                </c:pt>
                <c:pt idx="30">
                  <c:v>Jul-21</c:v>
                </c:pt>
                <c:pt idx="31">
                  <c:v>Aug-21</c:v>
                </c:pt>
                <c:pt idx="32">
                  <c:v>Sep-21</c:v>
                </c:pt>
                <c:pt idx="33">
                  <c:v>Oct-21</c:v>
                </c:pt>
                <c:pt idx="34">
                  <c:v>Nov-21</c:v>
                </c:pt>
                <c:pt idx="35">
                  <c:v>Dec-21</c:v>
                </c:pt>
                <c:pt idx="36">
                  <c:v>Jan-22</c:v>
                </c:pt>
                <c:pt idx="37">
                  <c:v>Feb-22</c:v>
                </c:pt>
                <c:pt idx="38">
                  <c:v>Mar-22</c:v>
                </c:pt>
                <c:pt idx="39">
                  <c:v>Apr-22</c:v>
                </c:pt>
                <c:pt idx="40">
                  <c:v>May-22</c:v>
                </c:pt>
                <c:pt idx="41">
                  <c:v>Jun-22</c:v>
                </c:pt>
                <c:pt idx="42">
                  <c:v>Jul-22</c:v>
                </c:pt>
                <c:pt idx="43">
                  <c:v>Aug-22</c:v>
                </c:pt>
                <c:pt idx="44">
                  <c:v>Sep-22</c:v>
                </c:pt>
                <c:pt idx="45">
                  <c:v>Oct-22</c:v>
                </c:pt>
                <c:pt idx="46">
                  <c:v>Nov-22</c:v>
                </c:pt>
                <c:pt idx="47">
                  <c:v>Dec-22</c:v>
                </c:pt>
                <c:pt idx="48">
                  <c:v>Jan-23</c:v>
                </c:pt>
                <c:pt idx="49">
                  <c:v>Feb-23</c:v>
                </c:pt>
                <c:pt idx="50">
                  <c:v>Mar-23</c:v>
                </c:pt>
                <c:pt idx="51">
                  <c:v>Apr-23</c:v>
                </c:pt>
                <c:pt idx="52">
                  <c:v>May-23</c:v>
                </c:pt>
                <c:pt idx="53">
                  <c:v>Jun-23</c:v>
                </c:pt>
                <c:pt idx="54">
                  <c:v>Jul-23</c:v>
                </c:pt>
                <c:pt idx="55">
                  <c:v>Aug-23</c:v>
                </c:pt>
                <c:pt idx="56">
                  <c:v>Sep-23</c:v>
                </c:pt>
                <c:pt idx="57">
                  <c:v>Oct-23</c:v>
                </c:pt>
                <c:pt idx="58">
                  <c:v>Nov-23</c:v>
                </c:pt>
                <c:pt idx="59">
                  <c:v>Dec-23</c:v>
                </c:pt>
                <c:pt idx="60">
                  <c:v>Jan-24</c:v>
                </c:pt>
                <c:pt idx="61">
                  <c:v>Feb-24</c:v>
                </c:pt>
                <c:pt idx="62">
                  <c:v>Mar-24</c:v>
                </c:pt>
                <c:pt idx="63">
                  <c:v>Apr-24</c:v>
                </c:pt>
                <c:pt idx="64">
                  <c:v>May-24</c:v>
                </c:pt>
                <c:pt idx="65">
                  <c:v>Jun-24</c:v>
                </c:pt>
                <c:pt idx="66">
                  <c:v>Jul-24</c:v>
                </c:pt>
                <c:pt idx="67">
                  <c:v>Aug-24</c:v>
                </c:pt>
                <c:pt idx="68">
                  <c:v>Sep-24</c:v>
                </c:pt>
                <c:pt idx="69">
                  <c:v>Oct-24</c:v>
                </c:pt>
                <c:pt idx="70">
                  <c:v>Nov-24</c:v>
                </c:pt>
                <c:pt idx="71">
                  <c:v>Dec-24</c:v>
                </c:pt>
                <c:pt idx="72">
                  <c:v>Jan-25</c:v>
                </c:pt>
                <c:pt idx="73">
                  <c:v>Feb-25</c:v>
                </c:pt>
                <c:pt idx="74">
                  <c:v>Mar-25</c:v>
                </c:pt>
                <c:pt idx="75">
                  <c:v>Apr-25</c:v>
                </c:pt>
                <c:pt idx="76">
                  <c:v>may-25</c:v>
                </c:pt>
                <c:pt idx="77">
                  <c:v>Jun-25</c:v>
                </c:pt>
                <c:pt idx="78">
                  <c:v>Jul-25</c:v>
                </c:pt>
                <c:pt idx="79">
                  <c:v>Aug-25</c:v>
                </c:pt>
                <c:pt idx="80">
                  <c:v>Sep-25</c:v>
                </c:pt>
                <c:pt idx="81">
                  <c:v>Oct-25</c:v>
                </c:pt>
                <c:pt idx="82">
                  <c:v>Nov-25</c:v>
                </c:pt>
                <c:pt idx="83">
                  <c:v>Dec-25</c:v>
                </c:pt>
                <c:pt idx="84">
                  <c:v>Ene-27</c:v>
                </c:pt>
                <c:pt idx="85">
                  <c:v>Feb-27</c:v>
                </c:pt>
                <c:pt idx="86">
                  <c:v>Mar-27</c:v>
                </c:pt>
                <c:pt idx="87">
                  <c:v>Abr-27</c:v>
                </c:pt>
                <c:pt idx="88">
                  <c:v>May-27</c:v>
                </c:pt>
                <c:pt idx="89">
                  <c:v>Jun-27</c:v>
                </c:pt>
                <c:pt idx="90">
                  <c:v>Jul-27</c:v>
                </c:pt>
                <c:pt idx="91">
                  <c:v>Ago-27</c:v>
                </c:pt>
                <c:pt idx="92">
                  <c:v>Sep-27</c:v>
                </c:pt>
                <c:pt idx="93">
                  <c:v>Oct-27</c:v>
                </c:pt>
                <c:pt idx="94">
                  <c:v>Nov-27</c:v>
                </c:pt>
                <c:pt idx="95">
                  <c:v>Dic-27</c:v>
                </c:pt>
              </c:strCache>
            </c:strRef>
          </c:cat>
          <c:val>
            <c:numRef>
              <c:f>MODELOPRONOSTICO!$H$8:$H$102</c:f>
              <c:numCache>
                <c:formatCode>0</c:formatCode>
                <c:ptCount val="95"/>
                <c:pt idx="0">
                  <c:v>233.75677278268421</c:v>
                </c:pt>
                <c:pt idx="1">
                  <c:v>217.3153322447958</c:v>
                </c:pt>
                <c:pt idx="2">
                  <c:v>182.71321793430297</c:v>
                </c:pt>
                <c:pt idx="3">
                  <c:v>189.39352161513969</c:v>
                </c:pt>
                <c:pt idx="4">
                  <c:v>194.86141121403145</c:v>
                </c:pt>
                <c:pt idx="5">
                  <c:v>226.71563246748534</c:v>
                </c:pt>
                <c:pt idx="6">
                  <c:v>205.179384836628</c:v>
                </c:pt>
                <c:pt idx="7">
                  <c:v>185.35053038427441</c:v>
                </c:pt>
                <c:pt idx="8">
                  <c:v>212.32375455911173</c:v>
                </c:pt>
                <c:pt idx="9">
                  <c:v>247.18790328338858</c:v>
                </c:pt>
                <c:pt idx="10">
                  <c:v>267.11259623123271</c:v>
                </c:pt>
                <c:pt idx="11">
                  <c:v>269.58238610067497</c:v>
                </c:pt>
                <c:pt idx="12">
                  <c:v>264.02745973633836</c:v>
                </c:pt>
                <c:pt idx="13">
                  <c:v>265.18543965328939</c:v>
                </c:pt>
                <c:pt idx="14">
                  <c:v>180.51699204287641</c:v>
                </c:pt>
                <c:pt idx="15">
                  <c:v>195.05590256826383</c:v>
                </c:pt>
                <c:pt idx="16">
                  <c:v>212.28280606276468</c:v>
                </c:pt>
                <c:pt idx="17">
                  <c:v>242.55518617138276</c:v>
                </c:pt>
                <c:pt idx="18">
                  <c:v>202.63576378112458</c:v>
                </c:pt>
                <c:pt idx="19">
                  <c:v>194.15307885548296</c:v>
                </c:pt>
                <c:pt idx="20">
                  <c:v>216.91632052753653</c:v>
                </c:pt>
                <c:pt idx="21">
                  <c:v>242.10663061983237</c:v>
                </c:pt>
                <c:pt idx="22">
                  <c:v>268.78534726215139</c:v>
                </c:pt>
                <c:pt idx="23">
                  <c:v>282.09823143425268</c:v>
                </c:pt>
                <c:pt idx="24">
                  <c:v>235.26735651669728</c:v>
                </c:pt>
                <c:pt idx="25">
                  <c:v>237.67230268694479</c:v>
                </c:pt>
                <c:pt idx="26">
                  <c:v>199.50413842745425</c:v>
                </c:pt>
                <c:pt idx="27">
                  <c:v>206.89917787157796</c:v>
                </c:pt>
                <c:pt idx="28">
                  <c:v>229.2742313546519</c:v>
                </c:pt>
                <c:pt idx="29">
                  <c:v>230.05270138271803</c:v>
                </c:pt>
                <c:pt idx="30">
                  <c:v>206.43740917713151</c:v>
                </c:pt>
                <c:pt idx="31">
                  <c:v>192.80478959468996</c:v>
                </c:pt>
                <c:pt idx="32">
                  <c:v>224.96732150711526</c:v>
                </c:pt>
                <c:pt idx="33">
                  <c:v>243.56107263313919</c:v>
                </c:pt>
                <c:pt idx="34">
                  <c:v>298.91773823851764</c:v>
                </c:pt>
                <c:pt idx="35">
                  <c:v>301.35506240028889</c:v>
                </c:pt>
                <c:pt idx="36">
                  <c:v>234.05480188074705</c:v>
                </c:pt>
                <c:pt idx="37">
                  <c:v>227.8815416330059</c:v>
                </c:pt>
                <c:pt idx="38">
                  <c:v>190.01348409967824</c:v>
                </c:pt>
                <c:pt idx="39">
                  <c:v>215.31061207724963</c:v>
                </c:pt>
                <c:pt idx="40">
                  <c:v>249.14227027206405</c:v>
                </c:pt>
                <c:pt idx="41">
                  <c:v>230.30133489174327</c:v>
                </c:pt>
                <c:pt idx="42">
                  <c:v>206.80925703846214</c:v>
                </c:pt>
                <c:pt idx="43">
                  <c:v>198.138685239913</c:v>
                </c:pt>
                <c:pt idx="44">
                  <c:v>227.52174175508631</c:v>
                </c:pt>
                <c:pt idx="45">
                  <c:v>265.510976372465</c:v>
                </c:pt>
                <c:pt idx="46">
                  <c:v>303.66598426691854</c:v>
                </c:pt>
                <c:pt idx="47">
                  <c:v>321.77680301633137</c:v>
                </c:pt>
                <c:pt idx="48">
                  <c:v>280.27353181365208</c:v>
                </c:pt>
                <c:pt idx="49">
                  <c:v>334.74997350712374</c:v>
                </c:pt>
                <c:pt idx="50">
                  <c:v>198.47068096977628</c:v>
                </c:pt>
                <c:pt idx="51">
                  <c:v>207.50049049101892</c:v>
                </c:pt>
                <c:pt idx="52">
                  <c:v>224.61056921685278</c:v>
                </c:pt>
                <c:pt idx="53">
                  <c:v>230.93034706199504</c:v>
                </c:pt>
                <c:pt idx="54">
                  <c:v>207.77544655795913</c:v>
                </c:pt>
                <c:pt idx="55">
                  <c:v>206.18047638866867</c:v>
                </c:pt>
                <c:pt idx="56">
                  <c:v>232.51207046742581</c:v>
                </c:pt>
                <c:pt idx="57">
                  <c:v>248.99865733172189</c:v>
                </c:pt>
                <c:pt idx="58">
                  <c:v>274.37416834674724</c:v>
                </c:pt>
                <c:pt idx="59">
                  <c:v>302.41829249476768</c:v>
                </c:pt>
                <c:pt idx="60">
                  <c:v>299.69677844397489</c:v>
                </c:pt>
                <c:pt idx="61">
                  <c:v>266.60942545675783</c:v>
                </c:pt>
                <c:pt idx="62">
                  <c:v>201.53738627262337</c:v>
                </c:pt>
                <c:pt idx="63">
                  <c:v>234.95820076079244</c:v>
                </c:pt>
                <c:pt idx="64">
                  <c:v>218.60264135603603</c:v>
                </c:pt>
                <c:pt idx="65">
                  <c:v>266.09967615768744</c:v>
                </c:pt>
                <c:pt idx="66">
                  <c:v>225.65288708757083</c:v>
                </c:pt>
                <c:pt idx="67">
                  <c:v>205.52827192972637</c:v>
                </c:pt>
                <c:pt idx="68">
                  <c:v>249.38975013257007</c:v>
                </c:pt>
                <c:pt idx="69">
                  <c:v>267.06476141845928</c:v>
                </c:pt>
                <c:pt idx="70">
                  <c:v>275.11540037025429</c:v>
                </c:pt>
                <c:pt idx="71">
                  <c:v>317.76755014188916</c:v>
                </c:pt>
                <c:pt idx="72">
                  <c:v>300.13329882590762</c:v>
                </c:pt>
                <c:pt idx="73">
                  <c:v>272.83598481808332</c:v>
                </c:pt>
                <c:pt idx="74">
                  <c:v>205.27410025328857</c:v>
                </c:pt>
                <c:pt idx="75">
                  <c:v>216.58209461595717</c:v>
                </c:pt>
                <c:pt idx="76">
                  <c:v>257.55607052359875</c:v>
                </c:pt>
                <c:pt idx="77">
                  <c:v>247.88512186698776</c:v>
                </c:pt>
                <c:pt idx="78">
                  <c:v>219.46985152112333</c:v>
                </c:pt>
                <c:pt idx="79">
                  <c:v>213.06416760724454</c:v>
                </c:pt>
                <c:pt idx="80">
                  <c:v>247.31904105115458</c:v>
                </c:pt>
                <c:pt idx="81">
                  <c:v>253.11999834099464</c:v>
                </c:pt>
                <c:pt idx="82">
                  <c:v>335.70876528417898</c:v>
                </c:pt>
                <c:pt idx="83">
                  <c:v>312.53408481393251</c:v>
                </c:pt>
                <c:pt idx="84">
                  <c:v>281.19297833136892</c:v>
                </c:pt>
                <c:pt idx="85">
                  <c:v>274.65137784696191</c:v>
                </c:pt>
                <c:pt idx="86">
                  <c:v>211.99715732541017</c:v>
                </c:pt>
                <c:pt idx="87">
                  <c:v>226.06395786116946</c:v>
                </c:pt>
                <c:pt idx="88">
                  <c:v>243.1981771087126</c:v>
                </c:pt>
                <c:pt idx="89">
                  <c:v>257.41826441068412</c:v>
                </c:pt>
                <c:pt idx="90">
                  <c:v>229.16483720810993</c:v>
                </c:pt>
                <c:pt idx="91">
                  <c:v>217.66865720599523</c:v>
                </c:pt>
                <c:pt idx="92">
                  <c:v>247.75771670214306</c:v>
                </c:pt>
                <c:pt idx="93">
                  <c:v>270.70958517568829</c:v>
                </c:pt>
                <c:pt idx="94">
                  <c:v>306.6210497062176</c:v>
                </c:pt>
              </c:numCache>
            </c:numRef>
          </c:val>
          <c:smooth val="0"/>
          <c:extLst>
            <c:ext xmlns:c16="http://schemas.microsoft.com/office/drawing/2014/chart" uri="{C3380CC4-5D6E-409C-BE32-E72D297353CC}">
              <c16:uniqueId val="{00000001-A6C3-4F93-BD19-03C63E4C22BD}"/>
            </c:ext>
          </c:extLst>
        </c:ser>
        <c:dLbls>
          <c:showLegendKey val="0"/>
          <c:showVal val="0"/>
          <c:showCatName val="0"/>
          <c:showSerName val="0"/>
          <c:showPercent val="0"/>
          <c:showBubbleSize val="0"/>
        </c:dLbls>
        <c:smooth val="0"/>
        <c:axId val="1509117807"/>
        <c:axId val="1509114447"/>
      </c:lineChart>
      <c:catAx>
        <c:axId val="150911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09114447"/>
        <c:crosses val="autoZero"/>
        <c:auto val="1"/>
        <c:lblAlgn val="ctr"/>
        <c:lblOffset val="100"/>
        <c:noMultiLvlLbl val="0"/>
      </c:catAx>
      <c:valAx>
        <c:axId val="1509114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09117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Análisis</a:t>
            </a:r>
            <a:r>
              <a:rPr lang="es-AR" baseline="0"/>
              <a:t> de Sensibilidad</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v>Pronóstico base</c:v>
          </c:tx>
          <c:spPr>
            <a:ln w="28575" cap="rnd">
              <a:solidFill>
                <a:schemeClr val="accent6">
                  <a:shade val="76000"/>
                </a:schemeClr>
              </a:solidFill>
              <a:round/>
            </a:ln>
            <a:effectLst/>
          </c:spPr>
          <c:marker>
            <c:symbol val="none"/>
          </c:marker>
          <c:cat>
            <c:strRef>
              <c:f>MODELOPRONOSTICO!$A$112:$A$123</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MODELOPRONOSTICO!$E$112:$E$123</c:f>
              <c:numCache>
                <c:formatCode>0</c:formatCode>
                <c:ptCount val="12"/>
                <c:pt idx="0">
                  <c:v>312.53408481393251</c:v>
                </c:pt>
                <c:pt idx="1">
                  <c:v>281.19297833136892</c:v>
                </c:pt>
                <c:pt idx="2">
                  <c:v>274.65137784696191</c:v>
                </c:pt>
                <c:pt idx="3">
                  <c:v>211.99715732541017</c:v>
                </c:pt>
                <c:pt idx="4">
                  <c:v>226.06395786116946</c:v>
                </c:pt>
                <c:pt idx="5">
                  <c:v>243.1981771087126</c:v>
                </c:pt>
                <c:pt idx="6">
                  <c:v>257.41826441068412</c:v>
                </c:pt>
                <c:pt idx="7">
                  <c:v>229.16483720810993</c:v>
                </c:pt>
                <c:pt idx="8">
                  <c:v>217.66865720599523</c:v>
                </c:pt>
                <c:pt idx="9">
                  <c:v>247.75771670214306</c:v>
                </c:pt>
                <c:pt idx="10">
                  <c:v>270.70958517568829</c:v>
                </c:pt>
                <c:pt idx="11">
                  <c:v>306.6210497062176</c:v>
                </c:pt>
              </c:numCache>
            </c:numRef>
          </c:val>
          <c:smooth val="0"/>
          <c:extLst>
            <c:ext xmlns:c16="http://schemas.microsoft.com/office/drawing/2014/chart" uri="{C3380CC4-5D6E-409C-BE32-E72D297353CC}">
              <c16:uniqueId val="{00000000-ED5E-4B60-A180-81BAF1487628}"/>
            </c:ext>
          </c:extLst>
        </c:ser>
        <c:ser>
          <c:idx val="1"/>
          <c:order val="1"/>
          <c:tx>
            <c:v>Pronóstico sensibilizado</c:v>
          </c:tx>
          <c:spPr>
            <a:ln w="28575" cap="rnd">
              <a:solidFill>
                <a:schemeClr val="accent6">
                  <a:tint val="77000"/>
                </a:schemeClr>
              </a:solidFill>
              <a:round/>
            </a:ln>
            <a:effectLst/>
          </c:spPr>
          <c:marker>
            <c:symbol val="none"/>
          </c:marker>
          <c:cat>
            <c:strRef>
              <c:f>MODELOPRONOSTICO!$A$112:$A$123</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MODELOPRONOSTICO!$F$112:$F$123</c:f>
              <c:numCache>
                <c:formatCode>0</c:formatCode>
                <c:ptCount val="12"/>
                <c:pt idx="0">
                  <c:v>373.87871161628698</c:v>
                </c:pt>
                <c:pt idx="1">
                  <c:v>334.63199135558187</c:v>
                </c:pt>
                <c:pt idx="2">
                  <c:v>314.51889266447114</c:v>
                </c:pt>
                <c:pt idx="3">
                  <c:v>224.40344954194643</c:v>
                </c:pt>
                <c:pt idx="4">
                  <c:v>226.06395786116946</c:v>
                </c:pt>
                <c:pt idx="5">
                  <c:v>243.1981771087126</c:v>
                </c:pt>
                <c:pt idx="6">
                  <c:v>257.41826441068412</c:v>
                </c:pt>
                <c:pt idx="7">
                  <c:v>229.16483720810993</c:v>
                </c:pt>
                <c:pt idx="8">
                  <c:v>217.66865720599523</c:v>
                </c:pt>
                <c:pt idx="9">
                  <c:v>247.75771670214306</c:v>
                </c:pt>
                <c:pt idx="10">
                  <c:v>270.70958517568829</c:v>
                </c:pt>
                <c:pt idx="11">
                  <c:v>353.3699176024453</c:v>
                </c:pt>
              </c:numCache>
            </c:numRef>
          </c:val>
          <c:smooth val="0"/>
          <c:extLst>
            <c:ext xmlns:c16="http://schemas.microsoft.com/office/drawing/2014/chart" uri="{C3380CC4-5D6E-409C-BE32-E72D297353CC}">
              <c16:uniqueId val="{00000001-ED5E-4B60-A180-81BAF1487628}"/>
            </c:ext>
          </c:extLst>
        </c:ser>
        <c:dLbls>
          <c:showLegendKey val="0"/>
          <c:showVal val="0"/>
          <c:showCatName val="0"/>
          <c:showSerName val="0"/>
          <c:showPercent val="0"/>
          <c:showBubbleSize val="0"/>
        </c:dLbls>
        <c:smooth val="0"/>
        <c:axId val="1872055135"/>
        <c:axId val="1872052735"/>
      </c:lineChart>
      <c:catAx>
        <c:axId val="187205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Pronostico base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72052735"/>
        <c:crosses val="autoZero"/>
        <c:auto val="1"/>
        <c:lblAlgn val="ctr"/>
        <c:lblOffset val="100"/>
        <c:noMultiLvlLbl val="0"/>
      </c:catAx>
      <c:valAx>
        <c:axId val="1872052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7205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13</xdr:col>
      <xdr:colOff>819751</xdr:colOff>
      <xdr:row>46</xdr:row>
      <xdr:rowOff>40105</xdr:rowOff>
    </xdr:from>
    <xdr:to>
      <xdr:col>24</xdr:col>
      <xdr:colOff>119742</xdr:colOff>
      <xdr:row>67</xdr:row>
      <xdr:rowOff>163285</xdr:rowOff>
    </xdr:to>
    <xdr:graphicFrame macro="">
      <xdr:nvGraphicFramePr>
        <xdr:cNvPr id="2" name="Gráfico 1">
          <a:extLst>
            <a:ext uri="{FF2B5EF4-FFF2-40B4-BE49-F238E27FC236}">
              <a16:creationId xmlns:a16="http://schemas.microsoft.com/office/drawing/2014/main" id="{BAC0672C-E6D0-4834-BCD2-6E992ACA2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791819</xdr:colOff>
      <xdr:row>110</xdr:row>
      <xdr:rowOff>28178</xdr:rowOff>
    </xdr:from>
    <xdr:to>
      <xdr:col>13</xdr:col>
      <xdr:colOff>365765</xdr:colOff>
      <xdr:row>125</xdr:row>
      <xdr:rowOff>99429</xdr:rowOff>
    </xdr:to>
    <xdr:graphicFrame macro="">
      <xdr:nvGraphicFramePr>
        <xdr:cNvPr id="3" name="Gráfico 2">
          <a:extLst>
            <a:ext uri="{FF2B5EF4-FFF2-40B4-BE49-F238E27FC236}">
              <a16:creationId xmlns:a16="http://schemas.microsoft.com/office/drawing/2014/main" id="{4C25DC83-E576-4727-A95F-560AF5D1032F}"/>
            </a:ext>
            <a:ext uri="{147F2762-F138-4A5C-976F-8EAC2B608ADB}">
              <a16:predDERef xmlns:a16="http://schemas.microsoft.com/office/drawing/2014/main" pred="{BAC0672C-E6D0-4834-BCD2-6E992ACA2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304799</xdr:colOff>
      <xdr:row>28</xdr:row>
      <xdr:rowOff>7620</xdr:rowOff>
    </xdr:from>
    <xdr:to>
      <xdr:col>4</xdr:col>
      <xdr:colOff>556260</xdr:colOff>
      <xdr:row>30</xdr:row>
      <xdr:rowOff>107378</xdr:rowOff>
    </xdr:to>
    <xdr:pic>
      <xdr:nvPicPr>
        <xdr:cNvPr id="2" name="Imagen 1">
          <a:extLst>
            <a:ext uri="{FF2B5EF4-FFF2-40B4-BE49-F238E27FC236}">
              <a16:creationId xmlns:a16="http://schemas.microsoft.com/office/drawing/2014/main" id="{B60E9979-71BB-A184-D6FB-0672DCB6E916}"/>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799" y="5623560"/>
          <a:ext cx="3451861" cy="465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9</xdr:row>
      <xdr:rowOff>142875</xdr:rowOff>
    </xdr:from>
    <xdr:to>
      <xdr:col>10</xdr:col>
      <xdr:colOff>523875</xdr:colOff>
      <xdr:row>13</xdr:row>
      <xdr:rowOff>171450</xdr:rowOff>
    </xdr:to>
    <xdr:sp macro="" textlink="">
      <xdr:nvSpPr>
        <xdr:cNvPr id="2" name="CuadroTexto 1">
          <a:extLst>
            <a:ext uri="{FF2B5EF4-FFF2-40B4-BE49-F238E27FC236}">
              <a16:creationId xmlns:a16="http://schemas.microsoft.com/office/drawing/2014/main" id="{193208D4-4B6B-3DDF-3D09-F10359EE3BB0}"/>
            </a:ext>
          </a:extLst>
        </xdr:cNvPr>
        <xdr:cNvSpPr txBox="1"/>
      </xdr:nvSpPr>
      <xdr:spPr>
        <a:xfrm>
          <a:off x="2914650" y="1828800"/>
          <a:ext cx="55530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a:t>Se adoptó el valor de $1.000 USD/MW-mes de la Res. SE N.° 400/2025 (Reserva de Confiabilidad Base), cuyo mecanismo conceptual —remunerar potencia disponible independientemente de su despacho— está formalizado desde la Res. SE N.° 137/1992 (Anexo 36 de 'Los Procedimientos')</a:t>
          </a:r>
          <a:endParaRPr lang="es-AR" sz="1100"/>
        </a:p>
      </xdr:txBody>
    </xdr:sp>
    <xdr:clientData/>
  </xdr:twoCellAnchor>
  <xdr:twoCellAnchor>
    <xdr:from>
      <xdr:col>0</xdr:col>
      <xdr:colOff>60960</xdr:colOff>
      <xdr:row>14</xdr:row>
      <xdr:rowOff>121920</xdr:rowOff>
    </xdr:from>
    <xdr:to>
      <xdr:col>6</xdr:col>
      <xdr:colOff>548640</xdr:colOff>
      <xdr:row>20</xdr:row>
      <xdr:rowOff>15240</xdr:rowOff>
    </xdr:to>
    <xdr:sp macro="" textlink="">
      <xdr:nvSpPr>
        <xdr:cNvPr id="3" name="CuadroTexto 2">
          <a:extLst>
            <a:ext uri="{FF2B5EF4-FFF2-40B4-BE49-F238E27FC236}">
              <a16:creationId xmlns:a16="http://schemas.microsoft.com/office/drawing/2014/main" id="{2E8ED007-5FBF-714E-1314-F1778C22B77B}"/>
            </a:ext>
          </a:extLst>
        </xdr:cNvPr>
        <xdr:cNvSpPr txBox="1"/>
      </xdr:nvSpPr>
      <xdr:spPr>
        <a:xfrm>
          <a:off x="60960" y="2796540"/>
          <a:ext cx="524256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AR" sz="1100" b="1">
              <a:solidFill>
                <a:schemeClr val="dk1"/>
              </a:solidFill>
              <a:effectLst/>
              <a:latin typeface="+mn-lt"/>
              <a:ea typeface="+mn-ea"/>
              <a:cs typeface="+mn-cs"/>
            </a:rPr>
            <a:t>Costo de Subestimación (C_ut):</a:t>
          </a:r>
          <a:r>
            <a:rPr lang="es-AR" sz="1100">
              <a:solidFill>
                <a:schemeClr val="dk1"/>
              </a:solidFill>
              <a:effectLst/>
              <a:latin typeface="+mn-lt"/>
              <a:ea typeface="+mn-ea"/>
              <a:cs typeface="+mn-cs"/>
            </a:rPr>
            <a:t> Es el costo o penalización si la demanda real supera lo planificado. Se calcula restando el Costo de la Energía No Suministrada (CENS) menos lo que te hubiera costado comprarla en el Mercado Eléctrico Mayorista (Cmem,t)</a:t>
          </a:r>
        </a:p>
        <a:p>
          <a:pPr marL="0" marR="0" lvl="0" indent="0" defTabSz="914400" eaLnBrk="1" fontAlgn="auto" latinLnBrk="0" hangingPunct="1">
            <a:lnSpc>
              <a:spcPct val="100000"/>
            </a:lnSpc>
            <a:spcBef>
              <a:spcPts val="0"/>
            </a:spcBef>
            <a:spcAft>
              <a:spcPts val="0"/>
            </a:spcAft>
            <a:buClrTx/>
            <a:buSzTx/>
            <a:buFontTx/>
            <a:buNone/>
            <a:tabLst/>
            <a:defRPr/>
          </a:pPr>
          <a:r>
            <a:rPr lang="es-AR" sz="1100">
              <a:solidFill>
                <a:schemeClr val="dk1"/>
              </a:solidFill>
              <a:effectLst/>
              <a:latin typeface="+mn-lt"/>
              <a:ea typeface="+mn-ea"/>
              <a:cs typeface="+mn-cs"/>
            </a:rPr>
            <a:t>Costo de Sobreestimación (C_o): Es el costo de contratar capacidad de reserva y que al final no se use (capacidad ociosa).</a:t>
          </a:r>
        </a:p>
        <a:p>
          <a:pPr marL="0" marR="0" lvl="0" indent="0" defTabSz="914400" eaLnBrk="1" fontAlgn="auto" latinLnBrk="0" hangingPunct="1">
            <a:lnSpc>
              <a:spcPct val="100000"/>
            </a:lnSpc>
            <a:spcBef>
              <a:spcPts val="0"/>
            </a:spcBef>
            <a:spcAft>
              <a:spcPts val="0"/>
            </a:spcAft>
            <a:buClrTx/>
            <a:buSzTx/>
            <a:buFontTx/>
            <a:buNone/>
            <a:tabLst/>
            <a:defRPr/>
          </a:pPr>
          <a:endParaRPr lang="es-A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AR" sz="1100">
            <a:solidFill>
              <a:schemeClr val="dk1"/>
            </a:solidFill>
            <a:effectLst/>
            <a:latin typeface="+mn-lt"/>
            <a:ea typeface="+mn-ea"/>
            <a:cs typeface="+mn-cs"/>
          </a:endParaRPr>
        </a:p>
        <a:p>
          <a:endParaRPr lang="es-AR" sz="1100"/>
        </a:p>
      </xdr:txBody>
    </xdr:sp>
    <xdr:clientData/>
  </xdr:twoCellAnchor>
  <xdr:twoCellAnchor>
    <xdr:from>
      <xdr:col>0</xdr:col>
      <xdr:colOff>792479</xdr:colOff>
      <xdr:row>21</xdr:row>
      <xdr:rowOff>0</xdr:rowOff>
    </xdr:from>
    <xdr:to>
      <xdr:col>4</xdr:col>
      <xdr:colOff>266962</xdr:colOff>
      <xdr:row>22</xdr:row>
      <xdr:rowOff>76200</xdr:rowOff>
    </xdr:to>
    <xdr:pic>
      <xdr:nvPicPr>
        <xdr:cNvPr id="4" name="Imagen 3">
          <a:extLst>
            <a:ext uri="{FF2B5EF4-FFF2-40B4-BE49-F238E27FC236}">
              <a16:creationId xmlns:a16="http://schemas.microsoft.com/office/drawing/2014/main" id="{EDF684F3-8B1E-8A1A-6E46-1AEFBAC81AA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92479" y="3954780"/>
          <a:ext cx="2644403" cy="259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15239</xdr:colOff>
      <xdr:row>20</xdr:row>
      <xdr:rowOff>60960</xdr:rowOff>
    </xdr:from>
    <xdr:to>
      <xdr:col>8</xdr:col>
      <xdr:colOff>360588</xdr:colOff>
      <xdr:row>23</xdr:row>
      <xdr:rowOff>38100</xdr:rowOff>
    </xdr:to>
    <xdr:pic>
      <xdr:nvPicPr>
        <xdr:cNvPr id="5" name="Imagen 4">
          <a:extLst>
            <a:ext uri="{FF2B5EF4-FFF2-40B4-BE49-F238E27FC236}">
              <a16:creationId xmlns:a16="http://schemas.microsoft.com/office/drawing/2014/main" id="{0A3EE0DB-7630-10DF-BC04-1A7EC196B4A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77639" y="3832860"/>
          <a:ext cx="2722789"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792479</xdr:colOff>
      <xdr:row>21</xdr:row>
      <xdr:rowOff>0</xdr:rowOff>
    </xdr:from>
    <xdr:to>
      <xdr:col>10</xdr:col>
      <xdr:colOff>333586</xdr:colOff>
      <xdr:row>22</xdr:row>
      <xdr:rowOff>83820</xdr:rowOff>
    </xdr:to>
    <xdr:pic>
      <xdr:nvPicPr>
        <xdr:cNvPr id="6" name="Imagen 5">
          <a:extLst>
            <a:ext uri="{FF2B5EF4-FFF2-40B4-BE49-F238E27FC236}">
              <a16:creationId xmlns:a16="http://schemas.microsoft.com/office/drawing/2014/main" id="{A974AB4B-E29A-04FE-1F85-B5B302158AA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132319" y="3954780"/>
          <a:ext cx="1126067"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63189</xdr:colOff>
      <xdr:row>13</xdr:row>
      <xdr:rowOff>44603</xdr:rowOff>
    </xdr:from>
    <xdr:ext cx="7632346" cy="475900"/>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C75F670D-A035-D5AD-5A97-D0E89CFF9ECF}"/>
                </a:ext>
              </a:extLst>
            </xdr:cNvPr>
            <xdr:cNvSpPr txBox="1"/>
          </xdr:nvSpPr>
          <xdr:spPr>
            <a:xfrm>
              <a:off x="2311089" y="2397278"/>
              <a:ext cx="7632346"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s-AR" sz="1100" b="0" i="1">
                            <a:latin typeface="Cambria Math" panose="02040503050406030204" pitchFamily="18" charset="0"/>
                          </a:rPr>
                        </m:ctrlPr>
                      </m:funcPr>
                      <m:fName>
                        <m:r>
                          <a:rPr lang="es-AR" sz="1100" b="0" i="1">
                            <a:latin typeface="Cambria Math" panose="02040503050406030204" pitchFamily="18" charset="0"/>
                          </a:rPr>
                          <m:t> </m:t>
                        </m:r>
                      </m:fName>
                      <m:e>
                        <m:func>
                          <m:funcPr>
                            <m:ctrlPr>
                              <a:rPr lang="es-AR" sz="1100" i="1">
                                <a:solidFill>
                                  <a:schemeClr val="tx1"/>
                                </a:solidFill>
                                <a:effectLst/>
                                <a:latin typeface="Cambria Math" panose="02040503050406030204" pitchFamily="18" charset="0"/>
                                <a:ea typeface="+mn-ea"/>
                                <a:cs typeface="+mn-cs"/>
                              </a:rPr>
                            </m:ctrlPr>
                          </m:funcPr>
                          <m:fName>
                            <m:r>
                              <m:rPr>
                                <m:sty m:val="p"/>
                              </m:rPr>
                              <a:rPr lang="es-AR" sz="1100">
                                <a:solidFill>
                                  <a:schemeClr val="tx1"/>
                                </a:solidFill>
                                <a:effectLst/>
                                <a:latin typeface="Cambria Math" panose="02040503050406030204" pitchFamily="18" charset="0"/>
                                <a:ea typeface="+mn-ea"/>
                                <a:cs typeface="+mn-cs"/>
                              </a:rPr>
                              <m:t>min</m:t>
                            </m:r>
                          </m:fName>
                          <m:e>
                            <m:r>
                              <a:rPr lang="es-AR" sz="1100" i="1">
                                <a:solidFill>
                                  <a:schemeClr val="tx1"/>
                                </a:solidFill>
                                <a:effectLst/>
                                <a:latin typeface="Cambria Math" panose="02040503050406030204" pitchFamily="18" charset="0"/>
                                <a:ea typeface="+mn-ea"/>
                                <a:cs typeface="+mn-cs"/>
                              </a:rPr>
                              <m:t>𝑍</m:t>
                            </m:r>
                            <m:r>
                              <a:rPr lang="es-AR" sz="1100" i="1">
                                <a:solidFill>
                                  <a:schemeClr val="tx1"/>
                                </a:solidFill>
                                <a:effectLst/>
                                <a:latin typeface="Cambria Math" panose="02040503050406030204" pitchFamily="18" charset="0"/>
                                <a:ea typeface="+mn-ea"/>
                                <a:cs typeface="+mn-cs"/>
                              </a:rPr>
                              <m:t>= </m:t>
                            </m:r>
                            <m:nary>
                              <m:naryPr>
                                <m:chr m:val="∑"/>
                                <m:limLoc m:val="undOvr"/>
                                <m:ctrlPr>
                                  <a:rPr lang="es-AR" sz="1100" i="1">
                                    <a:solidFill>
                                      <a:schemeClr val="tx1"/>
                                    </a:solidFill>
                                    <a:effectLst/>
                                    <a:latin typeface="Cambria Math" panose="02040503050406030204" pitchFamily="18" charset="0"/>
                                    <a:ea typeface="+mn-ea"/>
                                    <a:cs typeface="+mn-cs"/>
                                  </a:rPr>
                                </m:ctrlPr>
                              </m:naryPr>
                              <m:sub>
                                <m:r>
                                  <a:rPr lang="es-AR" sz="1100" i="1">
                                    <a:solidFill>
                                      <a:schemeClr val="tx1"/>
                                    </a:solidFill>
                                    <a:effectLst/>
                                    <a:latin typeface="Cambria Math" panose="02040503050406030204" pitchFamily="18" charset="0"/>
                                    <a:ea typeface="+mn-ea"/>
                                    <a:cs typeface="+mn-cs"/>
                                  </a:rPr>
                                  <m:t>𝑡</m:t>
                                </m:r>
                                <m:r>
                                  <a:rPr lang="es-AR" sz="1100" i="1">
                                    <a:solidFill>
                                      <a:schemeClr val="tx1"/>
                                    </a:solidFill>
                                    <a:effectLst/>
                                    <a:latin typeface="Cambria Math" panose="02040503050406030204" pitchFamily="18" charset="0"/>
                                    <a:ea typeface="+mn-ea"/>
                                    <a:cs typeface="+mn-cs"/>
                                  </a:rPr>
                                  <m:t>=1</m:t>
                                </m:r>
                              </m:sub>
                              <m:sup>
                                <m:r>
                                  <a:rPr lang="es-AR" sz="1100" i="1">
                                    <a:solidFill>
                                      <a:schemeClr val="tx1"/>
                                    </a:solidFill>
                                    <a:effectLst/>
                                    <a:latin typeface="Cambria Math" panose="02040503050406030204" pitchFamily="18" charset="0"/>
                                    <a:ea typeface="+mn-ea"/>
                                    <a:cs typeface="+mn-cs"/>
                                  </a:rPr>
                                  <m:t>12</m:t>
                                </m:r>
                              </m:sup>
                              <m:e>
                                <m:r>
                                  <a:rPr lang="es-AR" sz="1100" i="1">
                                    <a:solidFill>
                                      <a:schemeClr val="tx1"/>
                                    </a:solidFill>
                                    <a:effectLst/>
                                    <a:latin typeface="Cambria Math" panose="02040503050406030204" pitchFamily="18" charset="0"/>
                                    <a:ea typeface="+mn-ea"/>
                                    <a:cs typeface="+mn-cs"/>
                                  </a:rPr>
                                  <m:t>( </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𝐻𝐼𝐷𝑅𝑂</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𝐻𝐼𝐷𝑅𝑂</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𝐵𝐼𝑂𝑀𝐴𝑆𝐴</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𝐵𝐼𝑂𝑀𝐴𝑆𝐴</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𝐵𝐼𝑂𝐺𝐴𝑆</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𝐵𝐼𝑂𝐺𝐴𝑆</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𝑚𝑒𝑚</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𝑌</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𝑟𝑒𝑠𝐸𝑞𝑢𝑖𝑣</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𝑅</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𝐶𝐸𝑁𝑆</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𝐸𝑁</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𝑆</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e>
                            </m:nary>
                          </m:e>
                        </m:func>
                      </m:e>
                    </m:func>
                  </m:oMath>
                </m:oMathPara>
              </a14:m>
              <a:endParaRPr lang="es-AR" sz="1100"/>
            </a:p>
          </xdr:txBody>
        </xdr:sp>
      </mc:Choice>
      <mc:Fallback xmlns="">
        <xdr:sp macro="" textlink="">
          <xdr:nvSpPr>
            <xdr:cNvPr id="2" name="CuadroTexto 1">
              <a:extLst>
                <a:ext uri="{FF2B5EF4-FFF2-40B4-BE49-F238E27FC236}">
                  <a16:creationId xmlns:a16="http://schemas.microsoft.com/office/drawing/2014/main" id="{C75F670D-A035-D5AD-5A97-D0E89CFF9ECF}"/>
                </a:ext>
              </a:extLst>
            </xdr:cNvPr>
            <xdr:cNvSpPr txBox="1"/>
          </xdr:nvSpPr>
          <xdr:spPr>
            <a:xfrm>
              <a:off x="2311089" y="2397278"/>
              <a:ext cx="7632346"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 ⁡</a:t>
              </a:r>
              <a:r>
                <a:rPr lang="es-AR" sz="1100" i="0">
                  <a:solidFill>
                    <a:schemeClr val="tx1"/>
                  </a:solidFill>
                  <a:effectLst/>
                  <a:latin typeface="Cambria Math" panose="02040503050406030204" pitchFamily="18" charset="0"/>
                  <a:ea typeface="+mn-ea"/>
                  <a:cs typeface="+mn-cs"/>
                </a:rPr>
                <a:t>min⁡〖𝑍= ∑1_(𝑡=1)^12</a:t>
              </a:r>
              <a:r>
                <a:rPr lang="es-AR" sz="1100" b="0" i="0">
                  <a:solidFill>
                    <a:schemeClr val="tx1"/>
                  </a:solidFill>
                  <a:effectLst/>
                  <a:latin typeface="Cambria Math" panose="02040503050406030204" pitchFamily="18" charset="0"/>
                  <a:ea typeface="+mn-ea"/>
                  <a:cs typeface="+mn-cs"/>
                </a:rPr>
                <a:t>▒〖</a:t>
              </a:r>
              <a:r>
                <a:rPr lang="es-AR" sz="1100" i="0">
                  <a:solidFill>
                    <a:schemeClr val="tx1"/>
                  </a:solidFill>
                  <a:effectLst/>
                  <a:latin typeface="Cambria Math" panose="02040503050406030204" pitchFamily="18" charset="0"/>
                  <a:ea typeface="+mn-ea"/>
                  <a:cs typeface="+mn-cs"/>
                </a:rPr>
                <a:t>( </a:t>
              </a:r>
              <a:r>
                <a:rPr lang="es-AR" sz="1100" b="0" i="0">
                  <a:solidFill>
                    <a:schemeClr val="tx1"/>
                  </a:solidFill>
                  <a:effectLst/>
                  <a:latin typeface="Cambria Math" panose="02040503050406030204" pitchFamily="18" charset="0"/>
                  <a:ea typeface="+mn-ea"/>
                  <a:cs typeface="+mn-cs"/>
                </a:rPr>
                <a:t>𝐶_𝐻𝐼𝐷𝑅𝑂∗𝑋_(𝐻𝐼𝐷𝑅𝑂,𝑡)+𝐶_𝐵𝐼𝑂𝑀𝐴𝑆𝐴∗𝑋_(𝐵𝐼𝑂𝑀𝐴𝑆𝐴,𝑡)+𝐶_𝐵𝐼𝑂𝐺𝐴𝑆∗𝑋_(𝐵𝐼𝑂𝐺𝐴𝑆,𝑡)+𝐶_(𝑚𝑒𝑚,𝑡)∗𝑌_𝑡+𝐶_𝑟𝑒𝑠𝐸𝑞𝑢𝑖𝑣∗𝑅_𝑡+𝐶𝐸𝑁𝑆∗𝐸𝑁𝑆_𝑡)〗〗 </a:t>
              </a:r>
              <a:endParaRPr lang="es-AR" sz="1100"/>
            </a:p>
          </xdr:txBody>
        </xdr:sp>
      </mc:Fallback>
    </mc:AlternateContent>
    <xdr:clientData/>
  </xdr:oneCellAnchor>
  <xdr:oneCellAnchor>
    <xdr:from>
      <xdr:col>1</xdr:col>
      <xdr:colOff>137532</xdr:colOff>
      <xdr:row>23</xdr:row>
      <xdr:rowOff>128238</xdr:rowOff>
    </xdr:from>
    <xdr:ext cx="3870675" cy="191078"/>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68B1B178-7830-11D7-4C41-FBBFC3ECA157}"/>
                </a:ext>
              </a:extLst>
            </xdr:cNvPr>
            <xdr:cNvSpPr txBox="1"/>
          </xdr:nvSpPr>
          <xdr:spPr>
            <a:xfrm>
              <a:off x="1756782" y="4290663"/>
              <a:ext cx="38706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d>
                    <m:dPr>
                      <m:ctrlPr>
                        <a:rPr lang="es-AR" sz="1100" b="0" i="1">
                          <a:latin typeface="Cambria Math" panose="02040503050406030204" pitchFamily="18" charset="0"/>
                        </a:rPr>
                      </m:ctrlPr>
                    </m:dPr>
                    <m:e>
                      <m:r>
                        <a:rPr lang="es-AR" sz="1100" b="0" i="1">
                          <a:latin typeface="Cambria Math" panose="02040503050406030204" pitchFamily="18" charset="0"/>
                        </a:rPr>
                        <m:t>1−</m:t>
                      </m:r>
                      <m:r>
                        <a:rPr lang="el-GR" sz="1100" b="0" i="1">
                          <a:latin typeface="Cambria Math" panose="02040503050406030204" pitchFamily="18" charset="0"/>
                        </a:rPr>
                        <m:t>𝜂</m:t>
                      </m:r>
                    </m:e>
                  </m:d>
                  <m:r>
                    <a:rPr lang="es-AR" sz="1100" b="0" i="0">
                      <a:latin typeface="Cambria Math" panose="02040503050406030204" pitchFamily="18" charset="0"/>
                    </a:rPr>
                    <m:t>∗</m:t>
                  </m:r>
                  <m:d>
                    <m:dPr>
                      <m:ctrlPr>
                        <a:rPr lang="es-AR" sz="1100" b="0" i="1">
                          <a:latin typeface="Cambria Math" panose="02040503050406030204" pitchFamily="18" charset="0"/>
                        </a:rPr>
                      </m:ctrlPr>
                    </m:dPr>
                    <m:e>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HIDRO</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BIOMASA</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BIOGAS</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Y</m:t>
                          </m:r>
                        </m:e>
                        <m:sub>
                          <m:r>
                            <m:rPr>
                              <m:sty m:val="p"/>
                            </m:rPr>
                            <a:rPr lang="es-AR" sz="1100" b="0" i="0">
                              <a:latin typeface="Cambria Math" panose="02040503050406030204" pitchFamily="18" charset="0"/>
                            </a:rPr>
                            <m:t>t</m:t>
                          </m:r>
                        </m:sub>
                      </m:sSub>
                    </m:e>
                  </m:d>
                  <m:r>
                    <a:rPr lang="es-AR" sz="1100" b="0" i="1">
                      <a:latin typeface="Cambria Math" panose="02040503050406030204" pitchFamily="18" charset="0"/>
                    </a:rPr>
                    <m:t>+</m:t>
                  </m:r>
                  <m:r>
                    <a:rPr lang="es-AR" sz="1100" b="0" i="1">
                      <a:latin typeface="Cambria Math" panose="02040503050406030204" pitchFamily="18" charset="0"/>
                    </a:rPr>
                    <m:t>𝐸𝑁</m:t>
                  </m:r>
                  <m:sSub>
                    <m:sSubPr>
                      <m:ctrlPr>
                        <a:rPr lang="es-AR" sz="1100" b="0" i="1">
                          <a:latin typeface="Cambria Math" panose="02040503050406030204" pitchFamily="18" charset="0"/>
                        </a:rPr>
                      </m:ctrlPr>
                    </m:sSubPr>
                    <m:e>
                      <m:r>
                        <a:rPr lang="es-AR" sz="1100" b="0" i="1">
                          <a:latin typeface="Cambria Math" panose="02040503050406030204" pitchFamily="18" charset="0"/>
                        </a:rPr>
                        <m:t>𝑆</m:t>
                      </m:r>
                    </m:e>
                    <m:sub>
                      <m:r>
                        <a:rPr lang="es-AR" sz="1100" b="0" i="1">
                          <a:latin typeface="Cambria Math" panose="02040503050406030204" pitchFamily="18" charset="0"/>
                        </a:rPr>
                        <m:t>𝑡</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D</m:t>
                      </m:r>
                    </m:e>
                    <m:sub>
                      <m:r>
                        <m:rPr>
                          <m:sty m:val="p"/>
                        </m:rPr>
                        <a:rPr lang="es-AR" sz="1100" b="0" i="0">
                          <a:latin typeface="Cambria Math" panose="02040503050406030204" pitchFamily="18" charset="0"/>
                        </a:rPr>
                        <m:t>t</m:t>
                      </m:r>
                    </m:sub>
                  </m:sSub>
                </m:oMath>
              </a14:m>
              <a:r>
                <a:rPr lang="es-AR" sz="1100"/>
                <a:t> </a:t>
              </a:r>
            </a:p>
          </xdr:txBody>
        </xdr:sp>
      </mc:Choice>
      <mc:Fallback xmlns="">
        <xdr:sp macro="" textlink="">
          <xdr:nvSpPr>
            <xdr:cNvPr id="4" name="CuadroTexto 3">
              <a:extLst>
                <a:ext uri="{FF2B5EF4-FFF2-40B4-BE49-F238E27FC236}">
                  <a16:creationId xmlns:a16="http://schemas.microsoft.com/office/drawing/2014/main" id="{68B1B178-7830-11D7-4C41-FBBFC3ECA157}"/>
                </a:ext>
              </a:extLst>
            </xdr:cNvPr>
            <xdr:cNvSpPr txBox="1"/>
          </xdr:nvSpPr>
          <xdr:spPr>
            <a:xfrm>
              <a:off x="1756782" y="4290663"/>
              <a:ext cx="38706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AR" sz="1100" b="0" i="0">
                  <a:latin typeface="Cambria Math" panose="02040503050406030204" pitchFamily="18" charset="0"/>
                </a:rPr>
                <a:t>(1−</a:t>
              </a:r>
              <a:r>
                <a:rPr lang="el-GR" sz="1100" b="0" i="0">
                  <a:latin typeface="Cambria Math" panose="02040503050406030204" pitchFamily="18" charset="0"/>
                </a:rPr>
                <a:t>𝜂)</a:t>
              </a:r>
              <a:r>
                <a:rPr lang="es-AR" sz="1100" b="0" i="0">
                  <a:latin typeface="Cambria Math" panose="02040503050406030204" pitchFamily="18" charset="0"/>
                </a:rPr>
                <a:t>∗(X_(HIDRO,t)+X_(BIOMASA,t)+X_(BIOGAS,t)+Y_t )+𝐸𝑁𝑆_𝑡=D_t</a:t>
              </a:r>
              <a:r>
                <a:rPr lang="es-AR" sz="1100"/>
                <a:t> </a:t>
              </a:r>
            </a:p>
          </xdr:txBody>
        </xdr:sp>
      </mc:Fallback>
    </mc:AlternateContent>
    <xdr:clientData/>
  </xdr:oneCellAnchor>
  <xdr:oneCellAnchor>
    <xdr:from>
      <xdr:col>1</xdr:col>
      <xdr:colOff>146824</xdr:colOff>
      <xdr:row>30</xdr:row>
      <xdr:rowOff>7433</xdr:rowOff>
    </xdr:from>
    <xdr:ext cx="1379801" cy="173766"/>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18CC8A70-30FE-0F58-320A-46E46243E017}"/>
                </a:ext>
              </a:extLst>
            </xdr:cNvPr>
            <xdr:cNvSpPr txBox="1"/>
          </xdr:nvSpPr>
          <xdr:spPr>
            <a:xfrm>
              <a:off x="1401336" y="5471531"/>
              <a:ext cx="137980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AR" sz="1100" b="0" i="1">
                        <a:latin typeface="Cambria Math" panose="02040503050406030204" pitchFamily="18" charset="0"/>
                      </a:rPr>
                      <m:t>𝑁𝑒𝑤𝑠𝑣𝑒𝑛𝑑𝑜𝑟</m:t>
                    </m:r>
                    <m:r>
                      <a:rPr lang="es-AR" sz="1100" b="0" i="1">
                        <a:latin typeface="Cambria Math" panose="02040503050406030204" pitchFamily="18" charset="0"/>
                      </a:rPr>
                      <m:t> </m:t>
                    </m:r>
                    <m:sSub>
                      <m:sSubPr>
                        <m:ctrlPr>
                          <a:rPr lang="es-AR" sz="1100" b="0" i="1">
                            <a:latin typeface="Cambria Math" panose="02040503050406030204" pitchFamily="18" charset="0"/>
                          </a:rPr>
                        </m:ctrlPr>
                      </m:sSubPr>
                      <m:e>
                        <m:r>
                          <a:rPr lang="es-AR" sz="1100" b="0" i="1">
                            <a:latin typeface="Cambria Math" panose="02040503050406030204" pitchFamily="18" charset="0"/>
                          </a:rPr>
                          <m:t>𝑅</m:t>
                        </m:r>
                      </m:e>
                      <m:sub>
                        <m:r>
                          <a:rPr lang="es-AR" sz="1100" b="0" i="1">
                            <a:latin typeface="Cambria Math" panose="02040503050406030204" pitchFamily="18" charset="0"/>
                          </a:rPr>
                          <m:t>𝑡</m:t>
                        </m:r>
                      </m:sub>
                    </m:sSub>
                    <m:r>
                      <a:rPr lang="es-AR" sz="1100" b="0" i="1">
                        <a:latin typeface="Cambria Math" panose="02040503050406030204" pitchFamily="18" charset="0"/>
                      </a:rPr>
                      <m:t>≥</m:t>
                    </m:r>
                    <m:r>
                      <a:rPr lang="es-AR" sz="1100" b="0" i="1">
                        <a:latin typeface="Cambria Math" panose="02040503050406030204" pitchFamily="18" charset="0"/>
                      </a:rPr>
                      <m:t>𝑆</m:t>
                    </m:r>
                    <m:sSub>
                      <m:sSubPr>
                        <m:ctrlPr>
                          <a:rPr lang="es-AR" sz="1100" b="0" i="1">
                            <a:latin typeface="Cambria Math" panose="02040503050406030204" pitchFamily="18" charset="0"/>
                          </a:rPr>
                        </m:ctrlPr>
                      </m:sSubPr>
                      <m:e>
                        <m:r>
                          <a:rPr lang="es-AR" sz="1100" b="0" i="1">
                            <a:latin typeface="Cambria Math" panose="02040503050406030204" pitchFamily="18" charset="0"/>
                          </a:rPr>
                          <m:t>𝑆</m:t>
                        </m:r>
                      </m:e>
                      <m:sub>
                        <m:r>
                          <a:rPr lang="es-AR" sz="1100" b="0" i="1">
                            <a:latin typeface="Cambria Math" panose="02040503050406030204" pitchFamily="18" charset="0"/>
                          </a:rPr>
                          <m:t>𝑡</m:t>
                        </m:r>
                      </m:sub>
                    </m:sSub>
                  </m:oMath>
                </m:oMathPara>
              </a14:m>
              <a:endParaRPr lang="es-AR" sz="1100"/>
            </a:p>
          </xdr:txBody>
        </xdr:sp>
      </mc:Choice>
      <mc:Fallback xmlns="">
        <xdr:sp macro="" textlink="">
          <xdr:nvSpPr>
            <xdr:cNvPr id="5" name="CuadroTexto 4">
              <a:extLst>
                <a:ext uri="{FF2B5EF4-FFF2-40B4-BE49-F238E27FC236}">
                  <a16:creationId xmlns:a16="http://schemas.microsoft.com/office/drawing/2014/main" id="{18CC8A70-30FE-0F58-320A-46E46243E017}"/>
                </a:ext>
              </a:extLst>
            </xdr:cNvPr>
            <xdr:cNvSpPr txBox="1"/>
          </xdr:nvSpPr>
          <xdr:spPr>
            <a:xfrm>
              <a:off x="1401336" y="5471531"/>
              <a:ext cx="137980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AR" sz="1100" b="0" i="0">
                  <a:latin typeface="Cambria Math" panose="02040503050406030204" pitchFamily="18" charset="0"/>
                </a:rPr>
                <a:t>𝑁𝑒𝑤𝑠𝑣𝑒𝑛𝑑𝑜𝑟 𝑅_𝑡≥𝑆𝑆_𝑡</a:t>
              </a:r>
              <a:endParaRPr lang="es-AR" sz="1100"/>
            </a:p>
          </xdr:txBody>
        </xdr:sp>
      </mc:Fallback>
    </mc:AlternateContent>
    <xdr:clientData/>
  </xdr:oneCellAnchor>
  <xdr:oneCellAnchor>
    <xdr:from>
      <xdr:col>3</xdr:col>
      <xdr:colOff>44604</xdr:colOff>
      <xdr:row>37</xdr:row>
      <xdr:rowOff>165409</xdr:rowOff>
    </xdr:from>
    <xdr:ext cx="940322" cy="182871"/>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990B6EC2-0C46-8F11-3284-A363284F2D43}"/>
                </a:ext>
              </a:extLst>
            </xdr:cNvPr>
            <xdr:cNvSpPr txBox="1"/>
          </xdr:nvSpPr>
          <xdr:spPr>
            <a:xfrm>
              <a:off x="5159529" y="6861484"/>
              <a:ext cx="9403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𝑗</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 </m:t>
                    </m:r>
                    <m:r>
                      <a:rPr lang="es-AR" sz="1100" b="0" i="1">
                        <a:latin typeface="Cambria Math" panose="02040503050406030204" pitchFamily="18" charset="0"/>
                      </a:rPr>
                      <m:t>𝐺𝑚𝑎</m:t>
                    </m:r>
                    <m:sSub>
                      <m:sSubPr>
                        <m:ctrlPr>
                          <a:rPr lang="es-AR" sz="1100" b="0" i="1">
                            <a:latin typeface="Cambria Math" panose="02040503050406030204" pitchFamily="18" charset="0"/>
                          </a:rPr>
                        </m:ctrlPr>
                      </m:sSubPr>
                      <m:e>
                        <m:r>
                          <a:rPr lang="es-AR" sz="1100" b="0" i="1">
                            <a:latin typeface="Cambria Math" panose="02040503050406030204" pitchFamily="18" charset="0"/>
                          </a:rPr>
                          <m:t>𝑥</m:t>
                        </m:r>
                      </m:e>
                      <m:sub>
                        <m:r>
                          <a:rPr lang="es-AR" sz="1100" b="0" i="1">
                            <a:latin typeface="Cambria Math" panose="02040503050406030204" pitchFamily="18" charset="0"/>
                          </a:rPr>
                          <m:t>𝑗</m:t>
                        </m:r>
                        <m:r>
                          <a:rPr lang="es-AR" sz="1100" b="0" i="1">
                            <a:latin typeface="Cambria Math" panose="02040503050406030204" pitchFamily="18" charset="0"/>
                          </a:rPr>
                          <m:t>,</m:t>
                        </m:r>
                        <m:r>
                          <a:rPr lang="es-AR" sz="1100" b="0" i="1">
                            <a:latin typeface="Cambria Math" panose="02040503050406030204" pitchFamily="18" charset="0"/>
                          </a:rPr>
                          <m:t>𝑡</m:t>
                        </m:r>
                        <m:r>
                          <a:rPr lang="es-AR" sz="1100" b="0" i="1">
                            <a:latin typeface="Cambria Math" panose="02040503050406030204" pitchFamily="18" charset="0"/>
                          </a:rPr>
                          <m:t> </m:t>
                        </m:r>
                      </m:sub>
                    </m:sSub>
                  </m:oMath>
                </m:oMathPara>
              </a14:m>
              <a:endParaRPr lang="es-AR" sz="1100"/>
            </a:p>
          </xdr:txBody>
        </xdr:sp>
      </mc:Choice>
      <mc:Fallback xmlns="">
        <xdr:sp macro="" textlink="">
          <xdr:nvSpPr>
            <xdr:cNvPr id="6" name="CuadroTexto 5">
              <a:extLst>
                <a:ext uri="{FF2B5EF4-FFF2-40B4-BE49-F238E27FC236}">
                  <a16:creationId xmlns:a16="http://schemas.microsoft.com/office/drawing/2014/main" id="{990B6EC2-0C46-8F11-3284-A363284F2D43}"/>
                </a:ext>
              </a:extLst>
            </xdr:cNvPr>
            <xdr:cNvSpPr txBox="1"/>
          </xdr:nvSpPr>
          <xdr:spPr>
            <a:xfrm>
              <a:off x="5159529" y="6861484"/>
              <a:ext cx="9403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𝑋_(𝑗,𝑡)= 𝐺𝑚𝑎𝑥_(𝑗,𝑡 )</a:t>
              </a:r>
              <a:endParaRPr lang="es-AR" sz="1100"/>
            </a:p>
          </xdr:txBody>
        </xdr:sp>
      </mc:Fallback>
    </mc:AlternateContent>
    <xdr:clientData/>
  </xdr:oneCellAnchor>
  <xdr:oneCellAnchor>
    <xdr:from>
      <xdr:col>2</xdr:col>
      <xdr:colOff>183995</xdr:colOff>
      <xdr:row>60</xdr:row>
      <xdr:rowOff>7433</xdr:rowOff>
    </xdr:from>
    <xdr:ext cx="3312830" cy="176651"/>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D7862582-F72C-4C49-CD27-6F1ED9388588}"/>
                </a:ext>
              </a:extLst>
            </xdr:cNvPr>
            <xdr:cNvSpPr txBox="1"/>
          </xdr:nvSpPr>
          <xdr:spPr>
            <a:xfrm>
              <a:off x="2219093" y="10303726"/>
              <a:ext cx="3312830"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𝐻𝐼𝐷𝑅𝑂</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𝐵𝐼𝑂𝑀𝐴𝑆𝐴</m:t>
                        </m:r>
                        <m:r>
                          <a:rPr lang="es-AR" sz="1100" b="0" i="1">
                            <a:latin typeface="Cambria Math" panose="02040503050406030204" pitchFamily="18" charset="0"/>
                          </a:rPr>
                          <m:t>,</m:t>
                        </m:r>
                        <m:r>
                          <a:rPr lang="es-AR" sz="1100" b="0" i="1">
                            <a:latin typeface="Cambria Math" panose="02040503050406030204" pitchFamily="18" charset="0"/>
                          </a:rPr>
                          <m:t>𝑡</m:t>
                        </m:r>
                        <m:r>
                          <a:rPr lang="es-AR" sz="1100" b="0" i="1">
                            <a:latin typeface="Cambria Math" panose="02040503050406030204" pitchFamily="18" charset="0"/>
                          </a:rPr>
                          <m:t> </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𝐵𝐼𝑂𝐺𝐴𝑆</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𝑌</m:t>
                        </m:r>
                      </m:e>
                      <m:sub>
                        <m:r>
                          <a:rPr lang="es-AR" sz="1100" b="0" i="1">
                            <a:latin typeface="Cambria Math" panose="02040503050406030204" pitchFamily="18" charset="0"/>
                          </a:rPr>
                          <m:t>𝑡</m:t>
                        </m:r>
                      </m:sub>
                    </m:sSub>
                    <m:r>
                      <a:rPr lang="es-AR" sz="1100" b="0" i="1">
                        <a:latin typeface="Cambria Math" panose="02040503050406030204" pitchFamily="18" charset="0"/>
                      </a:rPr>
                      <m:t>≤</m:t>
                    </m:r>
                    <m:r>
                      <a:rPr lang="es-AR" sz="1100" b="0" i="1">
                        <a:latin typeface="Cambria Math" panose="02040503050406030204" pitchFamily="18" charset="0"/>
                      </a:rPr>
                      <m:t>𝑇𝑚𝑎</m:t>
                    </m:r>
                    <m:sSub>
                      <m:sSubPr>
                        <m:ctrlPr>
                          <a:rPr lang="es-AR" sz="1100" b="0" i="1">
                            <a:latin typeface="Cambria Math" panose="02040503050406030204" pitchFamily="18" charset="0"/>
                          </a:rPr>
                        </m:ctrlPr>
                      </m:sSubPr>
                      <m:e>
                        <m:r>
                          <a:rPr lang="es-AR" sz="1100" b="0" i="1">
                            <a:latin typeface="Cambria Math" panose="02040503050406030204" pitchFamily="18" charset="0"/>
                          </a:rPr>
                          <m:t>𝑥</m:t>
                        </m:r>
                      </m:e>
                      <m:sub>
                        <m:r>
                          <a:rPr lang="es-AR" sz="1100" b="0" i="1">
                            <a:latin typeface="Cambria Math" panose="02040503050406030204" pitchFamily="18" charset="0"/>
                          </a:rPr>
                          <m:t>𝑚𝑒𝑛𝑠𝑢𝑎𝑙</m:t>
                        </m:r>
                      </m:sub>
                    </m:sSub>
                  </m:oMath>
                </m:oMathPara>
              </a14:m>
              <a:endParaRPr lang="es-AR" sz="1100"/>
            </a:p>
          </xdr:txBody>
        </xdr:sp>
      </mc:Choice>
      <mc:Fallback xmlns="">
        <xdr:sp macro="" textlink="">
          <xdr:nvSpPr>
            <xdr:cNvPr id="7" name="CuadroTexto 6">
              <a:extLst>
                <a:ext uri="{FF2B5EF4-FFF2-40B4-BE49-F238E27FC236}">
                  <a16:creationId xmlns:a16="http://schemas.microsoft.com/office/drawing/2014/main" id="{D7862582-F72C-4C49-CD27-6F1ED9388588}"/>
                </a:ext>
              </a:extLst>
            </xdr:cNvPr>
            <xdr:cNvSpPr txBox="1"/>
          </xdr:nvSpPr>
          <xdr:spPr>
            <a:xfrm>
              <a:off x="2219093" y="10303726"/>
              <a:ext cx="3312830"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AR" sz="1100" b="0" i="0">
                  <a:latin typeface="Cambria Math" panose="02040503050406030204" pitchFamily="18" charset="0"/>
                </a:rPr>
                <a:t>𝑋_(𝐻𝐼𝐷𝑅𝑂,𝑡)+𝑋_(𝐵𝐼𝑂𝑀𝐴𝑆𝐴,𝑡 )+𝑋_(𝐵𝐼𝑂𝐺𝐴𝑆,𝑡)+𝑌_𝑡≤𝑇𝑚𝑎𝑥_𝑚𝑒𝑛𝑠𝑢𝑎𝑙</a:t>
              </a:r>
              <a:endParaRPr lang="es-AR"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1</xdr:col>
      <xdr:colOff>146824</xdr:colOff>
      <xdr:row>30</xdr:row>
      <xdr:rowOff>7433</xdr:rowOff>
    </xdr:from>
    <xdr:ext cx="1379801" cy="173766"/>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A541B2F-C396-475A-AB19-417BF8805144}"/>
                </a:ext>
              </a:extLst>
            </xdr:cNvPr>
            <xdr:cNvSpPr txBox="1"/>
          </xdr:nvSpPr>
          <xdr:spPr>
            <a:xfrm>
              <a:off x="1769884" y="5493833"/>
              <a:ext cx="137980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AR" sz="1100" b="0" i="1">
                        <a:latin typeface="Cambria Math" panose="02040503050406030204" pitchFamily="18" charset="0"/>
                      </a:rPr>
                      <m:t>𝑁𝑒𝑤𝑠𝑣𝑒𝑛𝑑𝑜𝑟</m:t>
                    </m:r>
                    <m:r>
                      <a:rPr lang="es-AR" sz="1100" b="0" i="1">
                        <a:latin typeface="Cambria Math" panose="02040503050406030204" pitchFamily="18" charset="0"/>
                      </a:rPr>
                      <m:t> </m:t>
                    </m:r>
                    <m:sSub>
                      <m:sSubPr>
                        <m:ctrlPr>
                          <a:rPr lang="es-AR" sz="1100" b="0" i="1">
                            <a:latin typeface="Cambria Math" panose="02040503050406030204" pitchFamily="18" charset="0"/>
                          </a:rPr>
                        </m:ctrlPr>
                      </m:sSubPr>
                      <m:e>
                        <m:r>
                          <a:rPr lang="es-AR" sz="1100" b="0" i="1">
                            <a:latin typeface="Cambria Math" panose="02040503050406030204" pitchFamily="18" charset="0"/>
                          </a:rPr>
                          <m:t>𝑅</m:t>
                        </m:r>
                      </m:e>
                      <m:sub>
                        <m:r>
                          <a:rPr lang="es-AR" sz="1100" b="0" i="1">
                            <a:latin typeface="Cambria Math" panose="02040503050406030204" pitchFamily="18" charset="0"/>
                          </a:rPr>
                          <m:t>𝑡</m:t>
                        </m:r>
                      </m:sub>
                    </m:sSub>
                    <m:r>
                      <a:rPr lang="es-AR" sz="1100" b="0" i="1">
                        <a:latin typeface="Cambria Math" panose="02040503050406030204" pitchFamily="18" charset="0"/>
                      </a:rPr>
                      <m:t>≥</m:t>
                    </m:r>
                    <m:r>
                      <a:rPr lang="es-AR" sz="1100" b="0" i="1">
                        <a:latin typeface="Cambria Math" panose="02040503050406030204" pitchFamily="18" charset="0"/>
                      </a:rPr>
                      <m:t>𝑆</m:t>
                    </m:r>
                    <m:sSub>
                      <m:sSubPr>
                        <m:ctrlPr>
                          <a:rPr lang="es-AR" sz="1100" b="0" i="1">
                            <a:latin typeface="Cambria Math" panose="02040503050406030204" pitchFamily="18" charset="0"/>
                          </a:rPr>
                        </m:ctrlPr>
                      </m:sSubPr>
                      <m:e>
                        <m:r>
                          <a:rPr lang="es-AR" sz="1100" b="0" i="1">
                            <a:latin typeface="Cambria Math" panose="02040503050406030204" pitchFamily="18" charset="0"/>
                          </a:rPr>
                          <m:t>𝑆</m:t>
                        </m:r>
                      </m:e>
                      <m:sub>
                        <m:r>
                          <a:rPr lang="es-AR" sz="1100" b="0" i="1">
                            <a:latin typeface="Cambria Math" panose="02040503050406030204" pitchFamily="18" charset="0"/>
                          </a:rPr>
                          <m:t>𝑡</m:t>
                        </m:r>
                      </m:sub>
                    </m:sSub>
                  </m:oMath>
                </m:oMathPara>
              </a14:m>
              <a:endParaRPr lang="es-AR" sz="1100"/>
            </a:p>
          </xdr:txBody>
        </xdr:sp>
      </mc:Choice>
      <mc:Fallback xmlns="">
        <xdr:sp macro="" textlink="">
          <xdr:nvSpPr>
            <xdr:cNvPr id="4" name="CuadroTexto 3">
              <a:extLst>
                <a:ext uri="{FF2B5EF4-FFF2-40B4-BE49-F238E27FC236}">
                  <a16:creationId xmlns:a16="http://schemas.microsoft.com/office/drawing/2014/main" id="{0A541B2F-C396-475A-AB19-417BF8805144}"/>
                </a:ext>
              </a:extLst>
            </xdr:cNvPr>
            <xdr:cNvSpPr txBox="1"/>
          </xdr:nvSpPr>
          <xdr:spPr>
            <a:xfrm>
              <a:off x="1769884" y="5493833"/>
              <a:ext cx="137980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𝑁𝑒𝑤𝑠𝑣𝑒𝑛𝑑𝑜𝑟 𝑅_𝑡≥𝑆𝑆_𝑡</a:t>
              </a:r>
              <a:endParaRPr lang="es-AR" sz="1100"/>
            </a:p>
          </xdr:txBody>
        </xdr:sp>
      </mc:Fallback>
    </mc:AlternateContent>
    <xdr:clientData/>
  </xdr:oneCellAnchor>
  <xdr:oneCellAnchor>
    <xdr:from>
      <xdr:col>3</xdr:col>
      <xdr:colOff>44604</xdr:colOff>
      <xdr:row>37</xdr:row>
      <xdr:rowOff>165409</xdr:rowOff>
    </xdr:from>
    <xdr:ext cx="940322" cy="182871"/>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67410157-67B3-4A65-9DC5-E0F8622107E1}"/>
                </a:ext>
              </a:extLst>
            </xdr:cNvPr>
            <xdr:cNvSpPr txBox="1"/>
          </xdr:nvSpPr>
          <xdr:spPr>
            <a:xfrm>
              <a:off x="5271924" y="6931969"/>
              <a:ext cx="9403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𝑗</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 </m:t>
                    </m:r>
                    <m:r>
                      <a:rPr lang="es-AR" sz="1100" b="0" i="1">
                        <a:latin typeface="Cambria Math" panose="02040503050406030204" pitchFamily="18" charset="0"/>
                      </a:rPr>
                      <m:t>𝐺𝑚𝑎</m:t>
                    </m:r>
                    <m:sSub>
                      <m:sSubPr>
                        <m:ctrlPr>
                          <a:rPr lang="es-AR" sz="1100" b="0" i="1">
                            <a:latin typeface="Cambria Math" panose="02040503050406030204" pitchFamily="18" charset="0"/>
                          </a:rPr>
                        </m:ctrlPr>
                      </m:sSubPr>
                      <m:e>
                        <m:r>
                          <a:rPr lang="es-AR" sz="1100" b="0" i="1">
                            <a:latin typeface="Cambria Math" panose="02040503050406030204" pitchFamily="18" charset="0"/>
                          </a:rPr>
                          <m:t>𝑥</m:t>
                        </m:r>
                      </m:e>
                      <m:sub>
                        <m:r>
                          <a:rPr lang="es-AR" sz="1100" b="0" i="1">
                            <a:latin typeface="Cambria Math" panose="02040503050406030204" pitchFamily="18" charset="0"/>
                          </a:rPr>
                          <m:t>𝑗</m:t>
                        </m:r>
                        <m:r>
                          <a:rPr lang="es-AR" sz="1100" b="0" i="1">
                            <a:latin typeface="Cambria Math" panose="02040503050406030204" pitchFamily="18" charset="0"/>
                          </a:rPr>
                          <m:t>,</m:t>
                        </m:r>
                        <m:r>
                          <a:rPr lang="es-AR" sz="1100" b="0" i="1">
                            <a:latin typeface="Cambria Math" panose="02040503050406030204" pitchFamily="18" charset="0"/>
                          </a:rPr>
                          <m:t>𝑡</m:t>
                        </m:r>
                        <m:r>
                          <a:rPr lang="es-AR" sz="1100" b="0" i="1">
                            <a:latin typeface="Cambria Math" panose="02040503050406030204" pitchFamily="18" charset="0"/>
                          </a:rPr>
                          <m:t> </m:t>
                        </m:r>
                      </m:sub>
                    </m:sSub>
                  </m:oMath>
                </m:oMathPara>
              </a14:m>
              <a:endParaRPr lang="es-AR" sz="1100"/>
            </a:p>
          </xdr:txBody>
        </xdr:sp>
      </mc:Choice>
      <mc:Fallback xmlns="">
        <xdr:sp macro="" textlink="">
          <xdr:nvSpPr>
            <xdr:cNvPr id="5" name="CuadroTexto 4">
              <a:extLst>
                <a:ext uri="{FF2B5EF4-FFF2-40B4-BE49-F238E27FC236}">
                  <a16:creationId xmlns:a16="http://schemas.microsoft.com/office/drawing/2014/main" id="{67410157-67B3-4A65-9DC5-E0F8622107E1}"/>
                </a:ext>
              </a:extLst>
            </xdr:cNvPr>
            <xdr:cNvSpPr txBox="1"/>
          </xdr:nvSpPr>
          <xdr:spPr>
            <a:xfrm>
              <a:off x="5271924" y="6931969"/>
              <a:ext cx="9403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𝑋_(𝑗,𝑡)= 𝐺𝑚𝑎𝑥_(𝑗,𝑡 )</a:t>
              </a:r>
              <a:endParaRPr lang="es-AR" sz="1100"/>
            </a:p>
          </xdr:txBody>
        </xdr:sp>
      </mc:Fallback>
    </mc:AlternateContent>
    <xdr:clientData/>
  </xdr:oneCellAnchor>
  <xdr:oneCellAnchor>
    <xdr:from>
      <xdr:col>2</xdr:col>
      <xdr:colOff>183995</xdr:colOff>
      <xdr:row>60</xdr:row>
      <xdr:rowOff>7433</xdr:rowOff>
    </xdr:from>
    <xdr:ext cx="3312830" cy="176651"/>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A8E341D9-8A43-4278-9CEA-C27E243AA555}"/>
                </a:ext>
              </a:extLst>
            </xdr:cNvPr>
            <xdr:cNvSpPr txBox="1"/>
          </xdr:nvSpPr>
          <xdr:spPr>
            <a:xfrm>
              <a:off x="2431895" y="10980233"/>
              <a:ext cx="3312830"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𝐻𝐼𝐷𝑅𝑂</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𝐵𝐼𝑂𝑀𝐴𝑆𝐴</m:t>
                        </m:r>
                        <m:r>
                          <a:rPr lang="es-AR" sz="1100" b="0" i="1">
                            <a:latin typeface="Cambria Math" panose="02040503050406030204" pitchFamily="18" charset="0"/>
                          </a:rPr>
                          <m:t>,</m:t>
                        </m:r>
                        <m:r>
                          <a:rPr lang="es-AR" sz="1100" b="0" i="1">
                            <a:latin typeface="Cambria Math" panose="02040503050406030204" pitchFamily="18" charset="0"/>
                          </a:rPr>
                          <m:t>𝑡</m:t>
                        </m:r>
                        <m:r>
                          <a:rPr lang="es-AR" sz="1100" b="0" i="1">
                            <a:latin typeface="Cambria Math" panose="02040503050406030204" pitchFamily="18" charset="0"/>
                          </a:rPr>
                          <m:t> </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𝐵𝐼𝑂𝐺𝐴𝑆</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𝑌</m:t>
                        </m:r>
                      </m:e>
                      <m:sub>
                        <m:r>
                          <a:rPr lang="es-AR" sz="1100" b="0" i="1">
                            <a:latin typeface="Cambria Math" panose="02040503050406030204" pitchFamily="18" charset="0"/>
                          </a:rPr>
                          <m:t>𝑡</m:t>
                        </m:r>
                      </m:sub>
                    </m:sSub>
                    <m:r>
                      <a:rPr lang="es-AR" sz="1100" b="0" i="1">
                        <a:latin typeface="Cambria Math" panose="02040503050406030204" pitchFamily="18" charset="0"/>
                      </a:rPr>
                      <m:t>≤</m:t>
                    </m:r>
                    <m:r>
                      <a:rPr lang="es-AR" sz="1100" b="0" i="1">
                        <a:latin typeface="Cambria Math" panose="02040503050406030204" pitchFamily="18" charset="0"/>
                      </a:rPr>
                      <m:t>𝑇𝑚𝑎</m:t>
                    </m:r>
                    <m:sSub>
                      <m:sSubPr>
                        <m:ctrlPr>
                          <a:rPr lang="es-AR" sz="1100" b="0" i="1">
                            <a:latin typeface="Cambria Math" panose="02040503050406030204" pitchFamily="18" charset="0"/>
                          </a:rPr>
                        </m:ctrlPr>
                      </m:sSubPr>
                      <m:e>
                        <m:r>
                          <a:rPr lang="es-AR" sz="1100" b="0" i="1">
                            <a:latin typeface="Cambria Math" panose="02040503050406030204" pitchFamily="18" charset="0"/>
                          </a:rPr>
                          <m:t>𝑥</m:t>
                        </m:r>
                      </m:e>
                      <m:sub>
                        <m:r>
                          <a:rPr lang="es-AR" sz="1100" b="0" i="1">
                            <a:latin typeface="Cambria Math" panose="02040503050406030204" pitchFamily="18" charset="0"/>
                          </a:rPr>
                          <m:t>𝑚𝑒𝑛𝑠𝑢𝑎𝑙</m:t>
                        </m:r>
                      </m:sub>
                    </m:sSub>
                  </m:oMath>
                </m:oMathPara>
              </a14:m>
              <a:endParaRPr lang="es-AR" sz="1100"/>
            </a:p>
          </xdr:txBody>
        </xdr:sp>
      </mc:Choice>
      <mc:Fallback xmlns="">
        <xdr:sp macro="" textlink="">
          <xdr:nvSpPr>
            <xdr:cNvPr id="6" name="CuadroTexto 5">
              <a:extLst>
                <a:ext uri="{FF2B5EF4-FFF2-40B4-BE49-F238E27FC236}">
                  <a16:creationId xmlns:a16="http://schemas.microsoft.com/office/drawing/2014/main" id="{A8E341D9-8A43-4278-9CEA-C27E243AA555}"/>
                </a:ext>
              </a:extLst>
            </xdr:cNvPr>
            <xdr:cNvSpPr txBox="1"/>
          </xdr:nvSpPr>
          <xdr:spPr>
            <a:xfrm>
              <a:off x="2431895" y="10980233"/>
              <a:ext cx="3312830"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𝑋_(𝐻𝐼𝐷𝑅𝑂,𝑡)+𝑋_(𝐵𝐼𝑂𝑀𝐴𝑆𝐴,𝑡 )+𝑋_(𝐵𝐼𝑂𝐺𝐴𝑆,𝑡)+𝑌_𝑡≤𝑇𝑚𝑎𝑥_𝑚𝑒𝑛𝑠𝑢𝑎𝑙</a:t>
              </a:r>
              <a:endParaRPr lang="es-AR" sz="1100"/>
            </a:p>
          </xdr:txBody>
        </xdr:sp>
      </mc:Fallback>
    </mc:AlternateContent>
    <xdr:clientData/>
  </xdr:oneCellAnchor>
  <xdr:twoCellAnchor>
    <xdr:from>
      <xdr:col>6</xdr:col>
      <xdr:colOff>809625</xdr:colOff>
      <xdr:row>0</xdr:row>
      <xdr:rowOff>171450</xdr:rowOff>
    </xdr:from>
    <xdr:to>
      <xdr:col>16</xdr:col>
      <xdr:colOff>0</xdr:colOff>
      <xdr:row>4</xdr:row>
      <xdr:rowOff>19050</xdr:rowOff>
    </xdr:to>
    <xdr:sp macro="" textlink="">
      <xdr:nvSpPr>
        <xdr:cNvPr id="7" name="CuadroTexto 6">
          <a:extLst>
            <a:ext uri="{FF2B5EF4-FFF2-40B4-BE49-F238E27FC236}">
              <a16:creationId xmlns:a16="http://schemas.microsoft.com/office/drawing/2014/main" id="{D524F142-2144-B6C3-F73E-37F36E7A20FF}"/>
            </a:ext>
          </a:extLst>
        </xdr:cNvPr>
        <xdr:cNvSpPr txBox="1"/>
      </xdr:nvSpPr>
      <xdr:spPr>
        <a:xfrm>
          <a:off x="8458200" y="171450"/>
          <a:ext cx="71151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a:t>Escenario 1-</a:t>
          </a:r>
          <a:r>
            <a:rPr lang="es-AR" sz="1100" baseline="0"/>
            <a:t> Aumento de temperatura: </a:t>
          </a:r>
          <a:r>
            <a:rPr lang="es-AR" sz="1100"/>
            <a:t>Modelo</a:t>
          </a:r>
          <a:r>
            <a:rPr lang="es-AR" sz="1100" baseline="0"/>
            <a:t> de Programación Lineal Multiperiódo utilizando valores de la demanda de energía eléctrica en Tucumán en 2027 con un aumento del 10% en la temperatura en los meses estivales Dic-Enero-Febrero-Marzo-Abril</a:t>
          </a:r>
          <a:endParaRPr lang="es-AR" sz="1100"/>
        </a:p>
      </xdr:txBody>
    </xdr:sp>
    <xdr:clientData/>
  </xdr:twoCellAnchor>
  <xdr:twoCellAnchor>
    <xdr:from>
      <xdr:col>14</xdr:col>
      <xdr:colOff>532190</xdr:colOff>
      <xdr:row>60</xdr:row>
      <xdr:rowOff>145143</xdr:rowOff>
    </xdr:from>
    <xdr:to>
      <xdr:col>20</xdr:col>
      <xdr:colOff>459619</xdr:colOff>
      <xdr:row>65</xdr:row>
      <xdr:rowOff>24191</xdr:rowOff>
    </xdr:to>
    <xdr:sp macro="" textlink="">
      <xdr:nvSpPr>
        <xdr:cNvPr id="8" name="CuadroTexto 7">
          <a:extLst>
            <a:ext uri="{FF2B5EF4-FFF2-40B4-BE49-F238E27FC236}">
              <a16:creationId xmlns:a16="http://schemas.microsoft.com/office/drawing/2014/main" id="{B948B120-C27C-D6AA-F029-157BE801C9D4}"/>
            </a:ext>
          </a:extLst>
        </xdr:cNvPr>
        <xdr:cNvSpPr txBox="1"/>
      </xdr:nvSpPr>
      <xdr:spPr>
        <a:xfrm>
          <a:off x="14586857" y="11030857"/>
          <a:ext cx="4644572" cy="786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400" b="1"/>
            <a:t>Significa que el riesgo de corte en Tucumán, con la infraestructura actual, no viene del lado de la demanda sino del lado del transporte.</a:t>
          </a:r>
        </a:p>
      </xdr:txBody>
    </xdr:sp>
    <xdr:clientData/>
  </xdr:twoCellAnchor>
  <xdr:oneCellAnchor>
    <xdr:from>
      <xdr:col>2</xdr:col>
      <xdr:colOff>184727</xdr:colOff>
      <xdr:row>13</xdr:row>
      <xdr:rowOff>38484</xdr:rowOff>
    </xdr:from>
    <xdr:ext cx="7632346" cy="475900"/>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200F1C54-96B7-4FAB-B815-08BC43053740}"/>
                </a:ext>
              </a:extLst>
            </xdr:cNvPr>
            <xdr:cNvSpPr txBox="1"/>
          </xdr:nvSpPr>
          <xdr:spPr>
            <a:xfrm>
              <a:off x="2432242" y="2439939"/>
              <a:ext cx="7632346"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s-AR" sz="1100" b="0" i="1">
                            <a:latin typeface="Cambria Math" panose="02040503050406030204" pitchFamily="18" charset="0"/>
                          </a:rPr>
                        </m:ctrlPr>
                      </m:funcPr>
                      <m:fName>
                        <m:r>
                          <a:rPr lang="es-AR" sz="1100" b="0" i="1">
                            <a:latin typeface="Cambria Math" panose="02040503050406030204" pitchFamily="18" charset="0"/>
                          </a:rPr>
                          <m:t> </m:t>
                        </m:r>
                      </m:fName>
                      <m:e>
                        <m:func>
                          <m:funcPr>
                            <m:ctrlPr>
                              <a:rPr lang="es-AR" sz="1100" i="1">
                                <a:solidFill>
                                  <a:schemeClr val="tx1"/>
                                </a:solidFill>
                                <a:effectLst/>
                                <a:latin typeface="Cambria Math" panose="02040503050406030204" pitchFamily="18" charset="0"/>
                                <a:ea typeface="+mn-ea"/>
                                <a:cs typeface="+mn-cs"/>
                              </a:rPr>
                            </m:ctrlPr>
                          </m:funcPr>
                          <m:fName>
                            <m:r>
                              <m:rPr>
                                <m:sty m:val="p"/>
                              </m:rPr>
                              <a:rPr lang="es-AR" sz="1100">
                                <a:solidFill>
                                  <a:schemeClr val="tx1"/>
                                </a:solidFill>
                                <a:effectLst/>
                                <a:latin typeface="Cambria Math" panose="02040503050406030204" pitchFamily="18" charset="0"/>
                                <a:ea typeface="+mn-ea"/>
                                <a:cs typeface="+mn-cs"/>
                              </a:rPr>
                              <m:t>min</m:t>
                            </m:r>
                          </m:fName>
                          <m:e>
                            <m:r>
                              <a:rPr lang="es-AR" sz="1100" i="1">
                                <a:solidFill>
                                  <a:schemeClr val="tx1"/>
                                </a:solidFill>
                                <a:effectLst/>
                                <a:latin typeface="Cambria Math" panose="02040503050406030204" pitchFamily="18" charset="0"/>
                                <a:ea typeface="+mn-ea"/>
                                <a:cs typeface="+mn-cs"/>
                              </a:rPr>
                              <m:t>𝑍</m:t>
                            </m:r>
                            <m:r>
                              <a:rPr lang="es-AR" sz="1100" i="1">
                                <a:solidFill>
                                  <a:schemeClr val="tx1"/>
                                </a:solidFill>
                                <a:effectLst/>
                                <a:latin typeface="Cambria Math" panose="02040503050406030204" pitchFamily="18" charset="0"/>
                                <a:ea typeface="+mn-ea"/>
                                <a:cs typeface="+mn-cs"/>
                              </a:rPr>
                              <m:t>= </m:t>
                            </m:r>
                            <m:nary>
                              <m:naryPr>
                                <m:chr m:val="∑"/>
                                <m:limLoc m:val="undOvr"/>
                                <m:ctrlPr>
                                  <a:rPr lang="es-AR" sz="1100" i="1">
                                    <a:solidFill>
                                      <a:schemeClr val="tx1"/>
                                    </a:solidFill>
                                    <a:effectLst/>
                                    <a:latin typeface="Cambria Math" panose="02040503050406030204" pitchFamily="18" charset="0"/>
                                    <a:ea typeface="+mn-ea"/>
                                    <a:cs typeface="+mn-cs"/>
                                  </a:rPr>
                                </m:ctrlPr>
                              </m:naryPr>
                              <m:sub>
                                <m:r>
                                  <a:rPr lang="es-AR" sz="1100" i="1">
                                    <a:solidFill>
                                      <a:schemeClr val="tx1"/>
                                    </a:solidFill>
                                    <a:effectLst/>
                                    <a:latin typeface="Cambria Math" panose="02040503050406030204" pitchFamily="18" charset="0"/>
                                    <a:ea typeface="+mn-ea"/>
                                    <a:cs typeface="+mn-cs"/>
                                  </a:rPr>
                                  <m:t>𝑡</m:t>
                                </m:r>
                                <m:r>
                                  <a:rPr lang="es-AR" sz="1100" i="1">
                                    <a:solidFill>
                                      <a:schemeClr val="tx1"/>
                                    </a:solidFill>
                                    <a:effectLst/>
                                    <a:latin typeface="Cambria Math" panose="02040503050406030204" pitchFamily="18" charset="0"/>
                                    <a:ea typeface="+mn-ea"/>
                                    <a:cs typeface="+mn-cs"/>
                                  </a:rPr>
                                  <m:t>=1</m:t>
                                </m:r>
                              </m:sub>
                              <m:sup>
                                <m:r>
                                  <a:rPr lang="es-AR" sz="1100" i="1">
                                    <a:solidFill>
                                      <a:schemeClr val="tx1"/>
                                    </a:solidFill>
                                    <a:effectLst/>
                                    <a:latin typeface="Cambria Math" panose="02040503050406030204" pitchFamily="18" charset="0"/>
                                    <a:ea typeface="+mn-ea"/>
                                    <a:cs typeface="+mn-cs"/>
                                  </a:rPr>
                                  <m:t>12</m:t>
                                </m:r>
                              </m:sup>
                              <m:e>
                                <m:r>
                                  <a:rPr lang="es-AR" sz="1100" i="1">
                                    <a:solidFill>
                                      <a:schemeClr val="tx1"/>
                                    </a:solidFill>
                                    <a:effectLst/>
                                    <a:latin typeface="Cambria Math" panose="02040503050406030204" pitchFamily="18" charset="0"/>
                                    <a:ea typeface="+mn-ea"/>
                                    <a:cs typeface="+mn-cs"/>
                                  </a:rPr>
                                  <m:t>( </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𝐻𝐼𝐷𝑅𝑂</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𝐻𝐼𝐷𝑅𝑂</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𝐵𝐼𝑂𝑀𝐴𝑆𝐴</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𝐵𝐼𝑂𝑀𝐴𝑆𝐴</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𝐵𝐼𝑂𝐺𝐴𝑆</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𝐵𝐼𝑂𝐺𝐴𝑆</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𝑚𝑒𝑚</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𝑌</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𝑟𝑒𝑠𝐸𝑞𝑢𝑖𝑣</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𝑅</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𝐶𝐸𝑁𝑆</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𝐸𝑁</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𝑆</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e>
                            </m:nary>
                          </m:e>
                        </m:func>
                      </m:e>
                    </m:func>
                  </m:oMath>
                </m:oMathPara>
              </a14:m>
              <a:endParaRPr lang="es-AR" sz="1100"/>
            </a:p>
          </xdr:txBody>
        </xdr:sp>
      </mc:Choice>
      <mc:Fallback xmlns="">
        <xdr:sp macro="" textlink="">
          <xdr:nvSpPr>
            <xdr:cNvPr id="9" name="CuadroTexto 8">
              <a:extLst>
                <a:ext uri="{FF2B5EF4-FFF2-40B4-BE49-F238E27FC236}">
                  <a16:creationId xmlns:a16="http://schemas.microsoft.com/office/drawing/2014/main" id="{200F1C54-96B7-4FAB-B815-08BC43053740}"/>
                </a:ext>
              </a:extLst>
            </xdr:cNvPr>
            <xdr:cNvSpPr txBox="1"/>
          </xdr:nvSpPr>
          <xdr:spPr>
            <a:xfrm>
              <a:off x="2432242" y="2439939"/>
              <a:ext cx="7632346"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 ⁡</a:t>
              </a:r>
              <a:r>
                <a:rPr lang="es-AR" sz="1100" i="0">
                  <a:solidFill>
                    <a:schemeClr val="tx1"/>
                  </a:solidFill>
                  <a:effectLst/>
                  <a:latin typeface="Cambria Math" panose="02040503050406030204" pitchFamily="18" charset="0"/>
                  <a:ea typeface="+mn-ea"/>
                  <a:cs typeface="+mn-cs"/>
                </a:rPr>
                <a:t>min⁡〖𝑍= ∑1_(𝑡=1)^12</a:t>
              </a:r>
              <a:r>
                <a:rPr lang="es-AR" sz="1100" b="0" i="0">
                  <a:solidFill>
                    <a:schemeClr val="tx1"/>
                  </a:solidFill>
                  <a:effectLst/>
                  <a:latin typeface="Cambria Math" panose="02040503050406030204" pitchFamily="18" charset="0"/>
                  <a:ea typeface="+mn-ea"/>
                  <a:cs typeface="+mn-cs"/>
                </a:rPr>
                <a:t>▒〖</a:t>
              </a:r>
              <a:r>
                <a:rPr lang="es-AR" sz="1100" i="0">
                  <a:solidFill>
                    <a:schemeClr val="tx1"/>
                  </a:solidFill>
                  <a:effectLst/>
                  <a:latin typeface="Cambria Math" panose="02040503050406030204" pitchFamily="18" charset="0"/>
                  <a:ea typeface="+mn-ea"/>
                  <a:cs typeface="+mn-cs"/>
                </a:rPr>
                <a:t>( </a:t>
              </a:r>
              <a:r>
                <a:rPr lang="es-AR" sz="1100" b="0" i="0">
                  <a:solidFill>
                    <a:schemeClr val="tx1"/>
                  </a:solidFill>
                  <a:effectLst/>
                  <a:latin typeface="Cambria Math" panose="02040503050406030204" pitchFamily="18" charset="0"/>
                  <a:ea typeface="+mn-ea"/>
                  <a:cs typeface="+mn-cs"/>
                </a:rPr>
                <a:t>𝐶_𝐻𝐼𝐷𝑅𝑂∗𝑋_(𝐻𝐼𝐷𝑅𝑂,𝑡)+𝐶_𝐵𝐼𝑂𝑀𝐴𝑆𝐴∗𝑋_(𝐵𝐼𝑂𝑀𝐴𝑆𝐴,𝑡)+𝐶_𝐵𝐼𝑂𝐺𝐴𝑆∗𝑋_(𝐵𝐼𝑂𝐺𝐴𝑆,𝑡)+𝐶_(𝑚𝑒𝑚,𝑡)∗𝑌_𝑡+𝐶_𝑟𝑒𝑠𝐸𝑞𝑢𝑖𝑣∗𝑅_𝑡+𝐶𝐸𝑁𝑆∗𝐸𝑁𝑆_𝑡)〗〗 </a:t>
              </a:r>
              <a:endParaRPr lang="es-AR" sz="1100"/>
            </a:p>
          </xdr:txBody>
        </xdr:sp>
      </mc:Fallback>
    </mc:AlternateContent>
    <xdr:clientData/>
  </xdr:oneCellAnchor>
  <xdr:oneCellAnchor>
    <xdr:from>
      <xdr:col>2</xdr:col>
      <xdr:colOff>69272</xdr:colOff>
      <xdr:row>23</xdr:row>
      <xdr:rowOff>38485</xdr:rowOff>
    </xdr:from>
    <xdr:ext cx="3870675" cy="191078"/>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D2C9AB39-FBB6-48B8-B87B-14639CD235E3}"/>
                </a:ext>
              </a:extLst>
            </xdr:cNvPr>
            <xdr:cNvSpPr txBox="1"/>
          </xdr:nvSpPr>
          <xdr:spPr>
            <a:xfrm>
              <a:off x="2316787" y="4287212"/>
              <a:ext cx="38706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d>
                    <m:dPr>
                      <m:ctrlPr>
                        <a:rPr lang="es-AR" sz="1100" b="0" i="1">
                          <a:latin typeface="Cambria Math" panose="02040503050406030204" pitchFamily="18" charset="0"/>
                        </a:rPr>
                      </m:ctrlPr>
                    </m:dPr>
                    <m:e>
                      <m:r>
                        <a:rPr lang="es-AR" sz="1100" b="0" i="1">
                          <a:latin typeface="Cambria Math" panose="02040503050406030204" pitchFamily="18" charset="0"/>
                        </a:rPr>
                        <m:t>1−</m:t>
                      </m:r>
                      <m:r>
                        <a:rPr lang="el-GR" sz="1100" b="0" i="1">
                          <a:latin typeface="Cambria Math" panose="02040503050406030204" pitchFamily="18" charset="0"/>
                        </a:rPr>
                        <m:t>𝜂</m:t>
                      </m:r>
                    </m:e>
                  </m:d>
                  <m:r>
                    <a:rPr lang="es-AR" sz="1100" b="0" i="0">
                      <a:latin typeface="Cambria Math" panose="02040503050406030204" pitchFamily="18" charset="0"/>
                    </a:rPr>
                    <m:t>∗</m:t>
                  </m:r>
                  <m:d>
                    <m:dPr>
                      <m:ctrlPr>
                        <a:rPr lang="es-AR" sz="1100" b="0" i="1">
                          <a:latin typeface="Cambria Math" panose="02040503050406030204" pitchFamily="18" charset="0"/>
                        </a:rPr>
                      </m:ctrlPr>
                    </m:dPr>
                    <m:e>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HIDRO</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BIOMASA</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BIOGAS</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Y</m:t>
                          </m:r>
                        </m:e>
                        <m:sub>
                          <m:r>
                            <m:rPr>
                              <m:sty m:val="p"/>
                            </m:rPr>
                            <a:rPr lang="es-AR" sz="1100" b="0" i="0">
                              <a:latin typeface="Cambria Math" panose="02040503050406030204" pitchFamily="18" charset="0"/>
                            </a:rPr>
                            <m:t>t</m:t>
                          </m:r>
                        </m:sub>
                      </m:sSub>
                    </m:e>
                  </m:d>
                  <m:r>
                    <a:rPr lang="es-AR" sz="1100" b="0" i="1">
                      <a:latin typeface="Cambria Math" panose="02040503050406030204" pitchFamily="18" charset="0"/>
                    </a:rPr>
                    <m:t>+</m:t>
                  </m:r>
                  <m:r>
                    <a:rPr lang="es-AR" sz="1100" b="0" i="1">
                      <a:latin typeface="Cambria Math" panose="02040503050406030204" pitchFamily="18" charset="0"/>
                    </a:rPr>
                    <m:t>𝐸𝑁</m:t>
                  </m:r>
                  <m:sSub>
                    <m:sSubPr>
                      <m:ctrlPr>
                        <a:rPr lang="es-AR" sz="1100" b="0" i="1">
                          <a:latin typeface="Cambria Math" panose="02040503050406030204" pitchFamily="18" charset="0"/>
                        </a:rPr>
                      </m:ctrlPr>
                    </m:sSubPr>
                    <m:e>
                      <m:r>
                        <a:rPr lang="es-AR" sz="1100" b="0" i="1">
                          <a:latin typeface="Cambria Math" panose="02040503050406030204" pitchFamily="18" charset="0"/>
                        </a:rPr>
                        <m:t>𝑆</m:t>
                      </m:r>
                    </m:e>
                    <m:sub>
                      <m:r>
                        <a:rPr lang="es-AR" sz="1100" b="0" i="1">
                          <a:latin typeface="Cambria Math" panose="02040503050406030204" pitchFamily="18" charset="0"/>
                        </a:rPr>
                        <m:t>𝑡</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D</m:t>
                      </m:r>
                    </m:e>
                    <m:sub>
                      <m:r>
                        <m:rPr>
                          <m:sty m:val="p"/>
                        </m:rPr>
                        <a:rPr lang="es-AR" sz="1100" b="0" i="0">
                          <a:latin typeface="Cambria Math" panose="02040503050406030204" pitchFamily="18" charset="0"/>
                        </a:rPr>
                        <m:t>t</m:t>
                      </m:r>
                    </m:sub>
                  </m:sSub>
                </m:oMath>
              </a14:m>
              <a:r>
                <a:rPr lang="es-AR" sz="1100"/>
                <a:t> </a:t>
              </a:r>
            </a:p>
          </xdr:txBody>
        </xdr:sp>
      </mc:Choice>
      <mc:Fallback xmlns="">
        <xdr:sp macro="" textlink="">
          <xdr:nvSpPr>
            <xdr:cNvPr id="10" name="CuadroTexto 9">
              <a:extLst>
                <a:ext uri="{FF2B5EF4-FFF2-40B4-BE49-F238E27FC236}">
                  <a16:creationId xmlns:a16="http://schemas.microsoft.com/office/drawing/2014/main" id="{D2C9AB39-FBB6-48B8-B87B-14639CD235E3}"/>
                </a:ext>
              </a:extLst>
            </xdr:cNvPr>
            <xdr:cNvSpPr txBox="1"/>
          </xdr:nvSpPr>
          <xdr:spPr>
            <a:xfrm>
              <a:off x="2316787" y="4287212"/>
              <a:ext cx="38706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AR" sz="1100" b="0" i="0">
                  <a:latin typeface="Cambria Math" panose="02040503050406030204" pitchFamily="18" charset="0"/>
                </a:rPr>
                <a:t>(1−</a:t>
              </a:r>
              <a:r>
                <a:rPr lang="el-GR" sz="1100" b="0" i="0">
                  <a:latin typeface="Cambria Math" panose="02040503050406030204" pitchFamily="18" charset="0"/>
                </a:rPr>
                <a:t>𝜂)</a:t>
              </a:r>
              <a:r>
                <a:rPr lang="es-AR" sz="1100" b="0" i="0">
                  <a:latin typeface="Cambria Math" panose="02040503050406030204" pitchFamily="18" charset="0"/>
                </a:rPr>
                <a:t>∗(X_(HIDRO,t)+X_(BIOMASA,t)+X_(BIOGAS,t)+Y_t )+𝐸𝑁𝑆_𝑡=D_t</a:t>
              </a:r>
              <a:r>
                <a:rPr lang="es-AR" sz="1100"/>
                <a:t> </a:t>
              </a:r>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63189</xdr:colOff>
      <xdr:row>13</xdr:row>
      <xdr:rowOff>44603</xdr:rowOff>
    </xdr:from>
    <xdr:ext cx="7632346" cy="475900"/>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F8A2F2B6-BB80-4EA9-B42A-B0AA277348C4}"/>
                </a:ext>
              </a:extLst>
            </xdr:cNvPr>
            <xdr:cNvSpPr txBox="1"/>
          </xdr:nvSpPr>
          <xdr:spPr>
            <a:xfrm>
              <a:off x="2311089" y="2422043"/>
              <a:ext cx="7632346"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s-AR" sz="1100" b="0" i="1">
                            <a:latin typeface="Cambria Math" panose="02040503050406030204" pitchFamily="18" charset="0"/>
                          </a:rPr>
                        </m:ctrlPr>
                      </m:funcPr>
                      <m:fName>
                        <m:r>
                          <a:rPr lang="es-AR" sz="1100" b="0" i="1">
                            <a:latin typeface="Cambria Math" panose="02040503050406030204" pitchFamily="18" charset="0"/>
                          </a:rPr>
                          <m:t> </m:t>
                        </m:r>
                      </m:fName>
                      <m:e>
                        <m:func>
                          <m:funcPr>
                            <m:ctrlPr>
                              <a:rPr lang="es-AR" sz="1100" i="1">
                                <a:solidFill>
                                  <a:schemeClr val="tx1"/>
                                </a:solidFill>
                                <a:effectLst/>
                                <a:latin typeface="Cambria Math" panose="02040503050406030204" pitchFamily="18" charset="0"/>
                                <a:ea typeface="+mn-ea"/>
                                <a:cs typeface="+mn-cs"/>
                              </a:rPr>
                            </m:ctrlPr>
                          </m:funcPr>
                          <m:fName>
                            <m:r>
                              <m:rPr>
                                <m:sty m:val="p"/>
                              </m:rPr>
                              <a:rPr lang="es-AR" sz="1100">
                                <a:solidFill>
                                  <a:schemeClr val="tx1"/>
                                </a:solidFill>
                                <a:effectLst/>
                                <a:latin typeface="Cambria Math" panose="02040503050406030204" pitchFamily="18" charset="0"/>
                                <a:ea typeface="+mn-ea"/>
                                <a:cs typeface="+mn-cs"/>
                              </a:rPr>
                              <m:t>min</m:t>
                            </m:r>
                          </m:fName>
                          <m:e>
                            <m:r>
                              <a:rPr lang="es-AR" sz="1100" i="1">
                                <a:solidFill>
                                  <a:schemeClr val="tx1"/>
                                </a:solidFill>
                                <a:effectLst/>
                                <a:latin typeface="Cambria Math" panose="02040503050406030204" pitchFamily="18" charset="0"/>
                                <a:ea typeface="+mn-ea"/>
                                <a:cs typeface="+mn-cs"/>
                              </a:rPr>
                              <m:t>𝑍</m:t>
                            </m:r>
                            <m:r>
                              <a:rPr lang="es-AR" sz="1100" i="1">
                                <a:solidFill>
                                  <a:schemeClr val="tx1"/>
                                </a:solidFill>
                                <a:effectLst/>
                                <a:latin typeface="Cambria Math" panose="02040503050406030204" pitchFamily="18" charset="0"/>
                                <a:ea typeface="+mn-ea"/>
                                <a:cs typeface="+mn-cs"/>
                              </a:rPr>
                              <m:t>= </m:t>
                            </m:r>
                            <m:nary>
                              <m:naryPr>
                                <m:chr m:val="∑"/>
                                <m:limLoc m:val="undOvr"/>
                                <m:ctrlPr>
                                  <a:rPr lang="es-AR" sz="1100" i="1">
                                    <a:solidFill>
                                      <a:schemeClr val="tx1"/>
                                    </a:solidFill>
                                    <a:effectLst/>
                                    <a:latin typeface="Cambria Math" panose="02040503050406030204" pitchFamily="18" charset="0"/>
                                    <a:ea typeface="+mn-ea"/>
                                    <a:cs typeface="+mn-cs"/>
                                  </a:rPr>
                                </m:ctrlPr>
                              </m:naryPr>
                              <m:sub>
                                <m:r>
                                  <a:rPr lang="es-AR" sz="1100" i="1">
                                    <a:solidFill>
                                      <a:schemeClr val="tx1"/>
                                    </a:solidFill>
                                    <a:effectLst/>
                                    <a:latin typeface="Cambria Math" panose="02040503050406030204" pitchFamily="18" charset="0"/>
                                    <a:ea typeface="+mn-ea"/>
                                    <a:cs typeface="+mn-cs"/>
                                  </a:rPr>
                                  <m:t>𝑡</m:t>
                                </m:r>
                                <m:r>
                                  <a:rPr lang="es-AR" sz="1100" i="1">
                                    <a:solidFill>
                                      <a:schemeClr val="tx1"/>
                                    </a:solidFill>
                                    <a:effectLst/>
                                    <a:latin typeface="Cambria Math" panose="02040503050406030204" pitchFamily="18" charset="0"/>
                                    <a:ea typeface="+mn-ea"/>
                                    <a:cs typeface="+mn-cs"/>
                                  </a:rPr>
                                  <m:t>=1</m:t>
                                </m:r>
                              </m:sub>
                              <m:sup>
                                <m:r>
                                  <a:rPr lang="es-AR" sz="1100" i="1">
                                    <a:solidFill>
                                      <a:schemeClr val="tx1"/>
                                    </a:solidFill>
                                    <a:effectLst/>
                                    <a:latin typeface="Cambria Math" panose="02040503050406030204" pitchFamily="18" charset="0"/>
                                    <a:ea typeface="+mn-ea"/>
                                    <a:cs typeface="+mn-cs"/>
                                  </a:rPr>
                                  <m:t>12</m:t>
                                </m:r>
                              </m:sup>
                              <m:e>
                                <m:r>
                                  <a:rPr lang="es-AR" sz="1100" i="1">
                                    <a:solidFill>
                                      <a:schemeClr val="tx1"/>
                                    </a:solidFill>
                                    <a:effectLst/>
                                    <a:latin typeface="Cambria Math" panose="02040503050406030204" pitchFamily="18" charset="0"/>
                                    <a:ea typeface="+mn-ea"/>
                                    <a:cs typeface="+mn-cs"/>
                                  </a:rPr>
                                  <m:t>( </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𝐻𝐼𝐷𝑅𝑂</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𝐻𝐼𝐷𝑅𝑂</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𝐵𝐼𝑂𝑀𝐴𝑆𝐴</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𝐵𝐼𝑂𝑀𝐴𝑆𝐴</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𝐵𝐼𝑂𝐺𝐴𝑆</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𝐵𝐼𝑂𝐺𝐴𝑆</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𝑚𝑒𝑚</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𝑌</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𝑟𝑒𝑠𝐸𝑞𝑢𝑖𝑣</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𝑅</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𝐶𝐸𝑁𝑆</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𝐸𝑁</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𝑆</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e>
                            </m:nary>
                          </m:e>
                        </m:func>
                      </m:e>
                    </m:func>
                  </m:oMath>
                </m:oMathPara>
              </a14:m>
              <a:endParaRPr lang="es-AR" sz="1100"/>
            </a:p>
          </xdr:txBody>
        </xdr:sp>
      </mc:Choice>
      <mc:Fallback xmlns="">
        <xdr:sp macro="" textlink="">
          <xdr:nvSpPr>
            <xdr:cNvPr id="2" name="CuadroTexto 1">
              <a:extLst>
                <a:ext uri="{FF2B5EF4-FFF2-40B4-BE49-F238E27FC236}">
                  <a16:creationId xmlns:a16="http://schemas.microsoft.com/office/drawing/2014/main" id="{F8A2F2B6-BB80-4EA9-B42A-B0AA277348C4}"/>
                </a:ext>
              </a:extLst>
            </xdr:cNvPr>
            <xdr:cNvSpPr txBox="1"/>
          </xdr:nvSpPr>
          <xdr:spPr>
            <a:xfrm>
              <a:off x="2311089" y="2422043"/>
              <a:ext cx="7632346"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 ⁡</a:t>
              </a:r>
              <a:r>
                <a:rPr lang="es-AR" sz="1100" i="0">
                  <a:solidFill>
                    <a:schemeClr val="tx1"/>
                  </a:solidFill>
                  <a:effectLst/>
                  <a:latin typeface="Cambria Math" panose="02040503050406030204" pitchFamily="18" charset="0"/>
                  <a:ea typeface="+mn-ea"/>
                  <a:cs typeface="+mn-cs"/>
                </a:rPr>
                <a:t>min⁡〖𝑍= ∑1_(𝑡=1)^12</a:t>
              </a:r>
              <a:r>
                <a:rPr lang="es-AR" sz="1100" b="0" i="0">
                  <a:solidFill>
                    <a:schemeClr val="tx1"/>
                  </a:solidFill>
                  <a:effectLst/>
                  <a:latin typeface="Cambria Math" panose="02040503050406030204" pitchFamily="18" charset="0"/>
                  <a:ea typeface="+mn-ea"/>
                  <a:cs typeface="+mn-cs"/>
                </a:rPr>
                <a:t>▒〖</a:t>
              </a:r>
              <a:r>
                <a:rPr lang="es-AR" sz="1100" i="0">
                  <a:solidFill>
                    <a:schemeClr val="tx1"/>
                  </a:solidFill>
                  <a:effectLst/>
                  <a:latin typeface="Cambria Math" panose="02040503050406030204" pitchFamily="18" charset="0"/>
                  <a:ea typeface="+mn-ea"/>
                  <a:cs typeface="+mn-cs"/>
                </a:rPr>
                <a:t>( </a:t>
              </a:r>
              <a:r>
                <a:rPr lang="es-AR" sz="1100" b="0" i="0">
                  <a:solidFill>
                    <a:schemeClr val="tx1"/>
                  </a:solidFill>
                  <a:effectLst/>
                  <a:latin typeface="Cambria Math" panose="02040503050406030204" pitchFamily="18" charset="0"/>
                  <a:ea typeface="+mn-ea"/>
                  <a:cs typeface="+mn-cs"/>
                </a:rPr>
                <a:t>𝐶_𝐻𝐼𝐷𝑅𝑂∗𝑋_(𝐻𝐼𝐷𝑅𝑂,𝑡)+𝐶_𝐵𝐼𝑂𝑀𝐴𝑆𝐴∗𝑋_(𝐵𝐼𝑂𝑀𝐴𝑆𝐴,𝑡)+𝐶_𝐵𝐼𝑂𝐺𝐴𝑆∗𝑋_(𝐵𝐼𝑂𝐺𝐴𝑆,𝑡)+𝐶_(𝑚𝑒𝑚,𝑡)∗𝑌_𝑡+𝐶_𝑟𝑒𝑠𝐸𝑞𝑢𝑖𝑣∗𝑅_𝑡+𝐶𝐸𝑁𝑆∗𝐸𝑁𝑆_𝑡)〗〗 </a:t>
              </a:r>
              <a:endParaRPr lang="es-AR" sz="1100"/>
            </a:p>
          </xdr:txBody>
        </xdr:sp>
      </mc:Fallback>
    </mc:AlternateContent>
    <xdr:clientData/>
  </xdr:oneCellAnchor>
  <xdr:oneCellAnchor>
    <xdr:from>
      <xdr:col>1</xdr:col>
      <xdr:colOff>137532</xdr:colOff>
      <xdr:row>23</xdr:row>
      <xdr:rowOff>128238</xdr:rowOff>
    </xdr:from>
    <xdr:ext cx="3870675" cy="191078"/>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021E6877-9B70-4D8F-ADFB-BCF2177048B0}"/>
                </a:ext>
              </a:extLst>
            </xdr:cNvPr>
            <xdr:cNvSpPr txBox="1"/>
          </xdr:nvSpPr>
          <xdr:spPr>
            <a:xfrm>
              <a:off x="1760592" y="4334478"/>
              <a:ext cx="38706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d>
                    <m:dPr>
                      <m:ctrlPr>
                        <a:rPr lang="es-AR" sz="1100" b="0" i="1">
                          <a:latin typeface="Cambria Math" panose="02040503050406030204" pitchFamily="18" charset="0"/>
                        </a:rPr>
                      </m:ctrlPr>
                    </m:dPr>
                    <m:e>
                      <m:r>
                        <a:rPr lang="es-AR" sz="1100" b="0" i="1">
                          <a:latin typeface="Cambria Math" panose="02040503050406030204" pitchFamily="18" charset="0"/>
                        </a:rPr>
                        <m:t>1−</m:t>
                      </m:r>
                      <m:r>
                        <a:rPr lang="el-GR" sz="1100" b="0" i="1">
                          <a:latin typeface="Cambria Math" panose="02040503050406030204" pitchFamily="18" charset="0"/>
                        </a:rPr>
                        <m:t>𝜂</m:t>
                      </m:r>
                    </m:e>
                  </m:d>
                  <m:r>
                    <a:rPr lang="es-AR" sz="1100" b="0" i="0">
                      <a:latin typeface="Cambria Math" panose="02040503050406030204" pitchFamily="18" charset="0"/>
                    </a:rPr>
                    <m:t>∗</m:t>
                  </m:r>
                  <m:d>
                    <m:dPr>
                      <m:ctrlPr>
                        <a:rPr lang="es-AR" sz="1100" b="0" i="1">
                          <a:latin typeface="Cambria Math" panose="02040503050406030204" pitchFamily="18" charset="0"/>
                        </a:rPr>
                      </m:ctrlPr>
                    </m:dPr>
                    <m:e>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HIDRO</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BIOMASA</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BIOGAS</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Y</m:t>
                          </m:r>
                        </m:e>
                        <m:sub>
                          <m:r>
                            <m:rPr>
                              <m:sty m:val="p"/>
                            </m:rPr>
                            <a:rPr lang="es-AR" sz="1100" b="0" i="0">
                              <a:latin typeface="Cambria Math" panose="02040503050406030204" pitchFamily="18" charset="0"/>
                            </a:rPr>
                            <m:t>t</m:t>
                          </m:r>
                        </m:sub>
                      </m:sSub>
                    </m:e>
                  </m:d>
                  <m:r>
                    <a:rPr lang="es-AR" sz="1100" b="0" i="1">
                      <a:latin typeface="Cambria Math" panose="02040503050406030204" pitchFamily="18" charset="0"/>
                    </a:rPr>
                    <m:t>+</m:t>
                  </m:r>
                  <m:r>
                    <a:rPr lang="es-AR" sz="1100" b="0" i="1">
                      <a:latin typeface="Cambria Math" panose="02040503050406030204" pitchFamily="18" charset="0"/>
                    </a:rPr>
                    <m:t>𝐸𝑁</m:t>
                  </m:r>
                  <m:sSub>
                    <m:sSubPr>
                      <m:ctrlPr>
                        <a:rPr lang="es-AR" sz="1100" b="0" i="1">
                          <a:latin typeface="Cambria Math" panose="02040503050406030204" pitchFamily="18" charset="0"/>
                        </a:rPr>
                      </m:ctrlPr>
                    </m:sSubPr>
                    <m:e>
                      <m:r>
                        <a:rPr lang="es-AR" sz="1100" b="0" i="1">
                          <a:latin typeface="Cambria Math" panose="02040503050406030204" pitchFamily="18" charset="0"/>
                        </a:rPr>
                        <m:t>𝑆</m:t>
                      </m:r>
                    </m:e>
                    <m:sub>
                      <m:r>
                        <a:rPr lang="es-AR" sz="1100" b="0" i="1">
                          <a:latin typeface="Cambria Math" panose="02040503050406030204" pitchFamily="18" charset="0"/>
                        </a:rPr>
                        <m:t>𝑡</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D</m:t>
                      </m:r>
                    </m:e>
                    <m:sub>
                      <m:r>
                        <m:rPr>
                          <m:sty m:val="p"/>
                        </m:rPr>
                        <a:rPr lang="es-AR" sz="1100" b="0" i="0">
                          <a:latin typeface="Cambria Math" panose="02040503050406030204" pitchFamily="18" charset="0"/>
                        </a:rPr>
                        <m:t>t</m:t>
                      </m:r>
                    </m:sub>
                  </m:sSub>
                </m:oMath>
              </a14:m>
              <a:r>
                <a:rPr lang="es-AR" sz="1100"/>
                <a:t> </a:t>
              </a:r>
            </a:p>
          </xdr:txBody>
        </xdr:sp>
      </mc:Choice>
      <mc:Fallback xmlns="">
        <xdr:sp macro="" textlink="">
          <xdr:nvSpPr>
            <xdr:cNvPr id="3" name="CuadroTexto 2">
              <a:extLst>
                <a:ext uri="{FF2B5EF4-FFF2-40B4-BE49-F238E27FC236}">
                  <a16:creationId xmlns:a16="http://schemas.microsoft.com/office/drawing/2014/main" id="{021E6877-9B70-4D8F-ADFB-BCF2177048B0}"/>
                </a:ext>
              </a:extLst>
            </xdr:cNvPr>
            <xdr:cNvSpPr txBox="1"/>
          </xdr:nvSpPr>
          <xdr:spPr>
            <a:xfrm>
              <a:off x="1760592" y="4334478"/>
              <a:ext cx="38706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AR" sz="1100" b="0" i="0">
                  <a:latin typeface="Cambria Math" panose="02040503050406030204" pitchFamily="18" charset="0"/>
                </a:rPr>
                <a:t>(1−</a:t>
              </a:r>
              <a:r>
                <a:rPr lang="el-GR" sz="1100" b="0" i="0">
                  <a:latin typeface="Cambria Math" panose="02040503050406030204" pitchFamily="18" charset="0"/>
                </a:rPr>
                <a:t>𝜂)</a:t>
              </a:r>
              <a:r>
                <a:rPr lang="es-AR" sz="1100" b="0" i="0">
                  <a:latin typeface="Cambria Math" panose="02040503050406030204" pitchFamily="18" charset="0"/>
                </a:rPr>
                <a:t>∗(X_(HIDRO,t)+X_(BIOMASA,t)+X_(BIOGAS,t)+Y_t )+𝐸𝑁𝑆_𝑡=D_t</a:t>
              </a:r>
              <a:r>
                <a:rPr lang="es-AR" sz="1100"/>
                <a:t> </a:t>
              </a:r>
            </a:p>
          </xdr:txBody>
        </xdr:sp>
      </mc:Fallback>
    </mc:AlternateContent>
    <xdr:clientData/>
  </xdr:oneCellAnchor>
  <xdr:oneCellAnchor>
    <xdr:from>
      <xdr:col>1</xdr:col>
      <xdr:colOff>146824</xdr:colOff>
      <xdr:row>30</xdr:row>
      <xdr:rowOff>7433</xdr:rowOff>
    </xdr:from>
    <xdr:ext cx="1379801" cy="173766"/>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22EAF926-DBA3-4729-8E94-6D5326B66827}"/>
                </a:ext>
              </a:extLst>
            </xdr:cNvPr>
            <xdr:cNvSpPr txBox="1"/>
          </xdr:nvSpPr>
          <xdr:spPr>
            <a:xfrm>
              <a:off x="1769884" y="5493833"/>
              <a:ext cx="137980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AR" sz="1100" b="0" i="1">
                        <a:latin typeface="Cambria Math" panose="02040503050406030204" pitchFamily="18" charset="0"/>
                      </a:rPr>
                      <m:t>𝑁𝑒𝑤𝑠𝑣𝑒𝑛𝑑𝑜𝑟</m:t>
                    </m:r>
                    <m:r>
                      <a:rPr lang="es-AR" sz="1100" b="0" i="1">
                        <a:latin typeface="Cambria Math" panose="02040503050406030204" pitchFamily="18" charset="0"/>
                      </a:rPr>
                      <m:t> </m:t>
                    </m:r>
                    <m:sSub>
                      <m:sSubPr>
                        <m:ctrlPr>
                          <a:rPr lang="es-AR" sz="1100" b="0" i="1">
                            <a:latin typeface="Cambria Math" panose="02040503050406030204" pitchFamily="18" charset="0"/>
                          </a:rPr>
                        </m:ctrlPr>
                      </m:sSubPr>
                      <m:e>
                        <m:r>
                          <a:rPr lang="es-AR" sz="1100" b="0" i="1">
                            <a:latin typeface="Cambria Math" panose="02040503050406030204" pitchFamily="18" charset="0"/>
                          </a:rPr>
                          <m:t>𝑅</m:t>
                        </m:r>
                      </m:e>
                      <m:sub>
                        <m:r>
                          <a:rPr lang="es-AR" sz="1100" b="0" i="1">
                            <a:latin typeface="Cambria Math" panose="02040503050406030204" pitchFamily="18" charset="0"/>
                          </a:rPr>
                          <m:t>𝑡</m:t>
                        </m:r>
                      </m:sub>
                    </m:sSub>
                    <m:r>
                      <a:rPr lang="es-AR" sz="1100" b="0" i="1">
                        <a:latin typeface="Cambria Math" panose="02040503050406030204" pitchFamily="18" charset="0"/>
                      </a:rPr>
                      <m:t>≥</m:t>
                    </m:r>
                    <m:r>
                      <a:rPr lang="es-AR" sz="1100" b="0" i="1">
                        <a:latin typeface="Cambria Math" panose="02040503050406030204" pitchFamily="18" charset="0"/>
                      </a:rPr>
                      <m:t>𝑆</m:t>
                    </m:r>
                    <m:sSub>
                      <m:sSubPr>
                        <m:ctrlPr>
                          <a:rPr lang="es-AR" sz="1100" b="0" i="1">
                            <a:latin typeface="Cambria Math" panose="02040503050406030204" pitchFamily="18" charset="0"/>
                          </a:rPr>
                        </m:ctrlPr>
                      </m:sSubPr>
                      <m:e>
                        <m:r>
                          <a:rPr lang="es-AR" sz="1100" b="0" i="1">
                            <a:latin typeface="Cambria Math" panose="02040503050406030204" pitchFamily="18" charset="0"/>
                          </a:rPr>
                          <m:t>𝑆</m:t>
                        </m:r>
                      </m:e>
                      <m:sub>
                        <m:r>
                          <a:rPr lang="es-AR" sz="1100" b="0" i="1">
                            <a:latin typeface="Cambria Math" panose="02040503050406030204" pitchFamily="18" charset="0"/>
                          </a:rPr>
                          <m:t>𝑡</m:t>
                        </m:r>
                      </m:sub>
                    </m:sSub>
                  </m:oMath>
                </m:oMathPara>
              </a14:m>
              <a:endParaRPr lang="es-AR" sz="1100"/>
            </a:p>
          </xdr:txBody>
        </xdr:sp>
      </mc:Choice>
      <mc:Fallback xmlns="">
        <xdr:sp macro="" textlink="">
          <xdr:nvSpPr>
            <xdr:cNvPr id="4" name="CuadroTexto 3">
              <a:extLst>
                <a:ext uri="{FF2B5EF4-FFF2-40B4-BE49-F238E27FC236}">
                  <a16:creationId xmlns:a16="http://schemas.microsoft.com/office/drawing/2014/main" id="{22EAF926-DBA3-4729-8E94-6D5326B66827}"/>
                </a:ext>
              </a:extLst>
            </xdr:cNvPr>
            <xdr:cNvSpPr txBox="1"/>
          </xdr:nvSpPr>
          <xdr:spPr>
            <a:xfrm>
              <a:off x="1769884" y="5493833"/>
              <a:ext cx="137980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𝑁𝑒𝑤𝑠𝑣𝑒𝑛𝑑𝑜𝑟 𝑅_𝑡≥𝑆𝑆_𝑡</a:t>
              </a:r>
              <a:endParaRPr lang="es-AR" sz="1100"/>
            </a:p>
          </xdr:txBody>
        </xdr:sp>
      </mc:Fallback>
    </mc:AlternateContent>
    <xdr:clientData/>
  </xdr:oneCellAnchor>
  <xdr:oneCellAnchor>
    <xdr:from>
      <xdr:col>3</xdr:col>
      <xdr:colOff>44604</xdr:colOff>
      <xdr:row>37</xdr:row>
      <xdr:rowOff>165409</xdr:rowOff>
    </xdr:from>
    <xdr:ext cx="940322" cy="182871"/>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F0430944-0DEB-4BAD-BAB9-FD783B1EC679}"/>
                </a:ext>
              </a:extLst>
            </xdr:cNvPr>
            <xdr:cNvSpPr txBox="1"/>
          </xdr:nvSpPr>
          <xdr:spPr>
            <a:xfrm>
              <a:off x="5271924" y="6931969"/>
              <a:ext cx="9403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𝑗</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 </m:t>
                    </m:r>
                    <m:r>
                      <a:rPr lang="es-AR" sz="1100" b="0" i="1">
                        <a:latin typeface="Cambria Math" panose="02040503050406030204" pitchFamily="18" charset="0"/>
                      </a:rPr>
                      <m:t>𝐺𝑚𝑎</m:t>
                    </m:r>
                    <m:sSub>
                      <m:sSubPr>
                        <m:ctrlPr>
                          <a:rPr lang="es-AR" sz="1100" b="0" i="1">
                            <a:latin typeface="Cambria Math" panose="02040503050406030204" pitchFamily="18" charset="0"/>
                          </a:rPr>
                        </m:ctrlPr>
                      </m:sSubPr>
                      <m:e>
                        <m:r>
                          <a:rPr lang="es-AR" sz="1100" b="0" i="1">
                            <a:latin typeface="Cambria Math" panose="02040503050406030204" pitchFamily="18" charset="0"/>
                          </a:rPr>
                          <m:t>𝑥</m:t>
                        </m:r>
                      </m:e>
                      <m:sub>
                        <m:r>
                          <a:rPr lang="es-AR" sz="1100" b="0" i="1">
                            <a:latin typeface="Cambria Math" panose="02040503050406030204" pitchFamily="18" charset="0"/>
                          </a:rPr>
                          <m:t>𝑗</m:t>
                        </m:r>
                        <m:r>
                          <a:rPr lang="es-AR" sz="1100" b="0" i="1">
                            <a:latin typeface="Cambria Math" panose="02040503050406030204" pitchFamily="18" charset="0"/>
                          </a:rPr>
                          <m:t>,</m:t>
                        </m:r>
                        <m:r>
                          <a:rPr lang="es-AR" sz="1100" b="0" i="1">
                            <a:latin typeface="Cambria Math" panose="02040503050406030204" pitchFamily="18" charset="0"/>
                          </a:rPr>
                          <m:t>𝑡</m:t>
                        </m:r>
                        <m:r>
                          <a:rPr lang="es-AR" sz="1100" b="0" i="1">
                            <a:latin typeface="Cambria Math" panose="02040503050406030204" pitchFamily="18" charset="0"/>
                          </a:rPr>
                          <m:t> </m:t>
                        </m:r>
                      </m:sub>
                    </m:sSub>
                  </m:oMath>
                </m:oMathPara>
              </a14:m>
              <a:endParaRPr lang="es-AR" sz="1100"/>
            </a:p>
          </xdr:txBody>
        </xdr:sp>
      </mc:Choice>
      <mc:Fallback xmlns="">
        <xdr:sp macro="" textlink="">
          <xdr:nvSpPr>
            <xdr:cNvPr id="5" name="CuadroTexto 4">
              <a:extLst>
                <a:ext uri="{FF2B5EF4-FFF2-40B4-BE49-F238E27FC236}">
                  <a16:creationId xmlns:a16="http://schemas.microsoft.com/office/drawing/2014/main" id="{F0430944-0DEB-4BAD-BAB9-FD783B1EC679}"/>
                </a:ext>
              </a:extLst>
            </xdr:cNvPr>
            <xdr:cNvSpPr txBox="1"/>
          </xdr:nvSpPr>
          <xdr:spPr>
            <a:xfrm>
              <a:off x="5271924" y="6931969"/>
              <a:ext cx="9403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𝑋_(𝑗,𝑡)= 𝐺𝑚𝑎𝑥_(𝑗,𝑡 )</a:t>
              </a:r>
              <a:endParaRPr lang="es-AR" sz="1100"/>
            </a:p>
          </xdr:txBody>
        </xdr:sp>
      </mc:Fallback>
    </mc:AlternateContent>
    <xdr:clientData/>
  </xdr:oneCellAnchor>
  <xdr:oneCellAnchor>
    <xdr:from>
      <xdr:col>2</xdr:col>
      <xdr:colOff>241145</xdr:colOff>
      <xdr:row>59</xdr:row>
      <xdr:rowOff>102683</xdr:rowOff>
    </xdr:from>
    <xdr:ext cx="3312830" cy="176651"/>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F203808B-4F2F-43B0-A505-7E1D2CEF4367}"/>
                </a:ext>
              </a:extLst>
            </xdr:cNvPr>
            <xdr:cNvSpPr txBox="1"/>
          </xdr:nvSpPr>
          <xdr:spPr>
            <a:xfrm>
              <a:off x="2489045" y="10780208"/>
              <a:ext cx="3312830"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𝐻𝐼𝐷𝑅𝑂</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𝐵𝐼𝑂𝑀𝐴𝑆𝐴</m:t>
                        </m:r>
                        <m:r>
                          <a:rPr lang="es-AR" sz="1100" b="0" i="1">
                            <a:latin typeface="Cambria Math" panose="02040503050406030204" pitchFamily="18" charset="0"/>
                          </a:rPr>
                          <m:t>,</m:t>
                        </m:r>
                        <m:r>
                          <a:rPr lang="es-AR" sz="1100" b="0" i="1">
                            <a:latin typeface="Cambria Math" panose="02040503050406030204" pitchFamily="18" charset="0"/>
                          </a:rPr>
                          <m:t>𝑡</m:t>
                        </m:r>
                        <m:r>
                          <a:rPr lang="es-AR" sz="1100" b="0" i="1">
                            <a:latin typeface="Cambria Math" panose="02040503050406030204" pitchFamily="18" charset="0"/>
                          </a:rPr>
                          <m:t> </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𝐵𝐼𝑂𝐺𝐴𝑆</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𝑌</m:t>
                        </m:r>
                      </m:e>
                      <m:sub>
                        <m:r>
                          <a:rPr lang="es-AR" sz="1100" b="0" i="1">
                            <a:latin typeface="Cambria Math" panose="02040503050406030204" pitchFamily="18" charset="0"/>
                          </a:rPr>
                          <m:t>𝑡</m:t>
                        </m:r>
                      </m:sub>
                    </m:sSub>
                    <m:r>
                      <a:rPr lang="es-AR" sz="1100" b="0" i="1">
                        <a:latin typeface="Cambria Math" panose="02040503050406030204" pitchFamily="18" charset="0"/>
                      </a:rPr>
                      <m:t>≤</m:t>
                    </m:r>
                    <m:r>
                      <a:rPr lang="es-AR" sz="1100" b="0" i="1">
                        <a:latin typeface="Cambria Math" panose="02040503050406030204" pitchFamily="18" charset="0"/>
                      </a:rPr>
                      <m:t>𝑇𝑚𝑎</m:t>
                    </m:r>
                    <m:sSub>
                      <m:sSubPr>
                        <m:ctrlPr>
                          <a:rPr lang="es-AR" sz="1100" b="0" i="1">
                            <a:latin typeface="Cambria Math" panose="02040503050406030204" pitchFamily="18" charset="0"/>
                          </a:rPr>
                        </m:ctrlPr>
                      </m:sSubPr>
                      <m:e>
                        <m:r>
                          <a:rPr lang="es-AR" sz="1100" b="0" i="1">
                            <a:latin typeface="Cambria Math" panose="02040503050406030204" pitchFamily="18" charset="0"/>
                          </a:rPr>
                          <m:t>𝑥</m:t>
                        </m:r>
                      </m:e>
                      <m:sub>
                        <m:r>
                          <a:rPr lang="es-AR" sz="1100" b="0" i="1">
                            <a:latin typeface="Cambria Math" panose="02040503050406030204" pitchFamily="18" charset="0"/>
                          </a:rPr>
                          <m:t>𝑚𝑒𝑛𝑠𝑢𝑎𝑙</m:t>
                        </m:r>
                      </m:sub>
                    </m:sSub>
                  </m:oMath>
                </m:oMathPara>
              </a14:m>
              <a:endParaRPr lang="es-AR" sz="1100"/>
            </a:p>
          </xdr:txBody>
        </xdr:sp>
      </mc:Choice>
      <mc:Fallback xmlns="">
        <xdr:sp macro="" textlink="">
          <xdr:nvSpPr>
            <xdr:cNvPr id="6" name="CuadroTexto 5">
              <a:extLst>
                <a:ext uri="{FF2B5EF4-FFF2-40B4-BE49-F238E27FC236}">
                  <a16:creationId xmlns:a16="http://schemas.microsoft.com/office/drawing/2014/main" id="{F203808B-4F2F-43B0-A505-7E1D2CEF4367}"/>
                </a:ext>
              </a:extLst>
            </xdr:cNvPr>
            <xdr:cNvSpPr txBox="1"/>
          </xdr:nvSpPr>
          <xdr:spPr>
            <a:xfrm>
              <a:off x="2489045" y="10780208"/>
              <a:ext cx="3312830"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𝑋_(𝐻𝐼𝐷𝑅𝑂,𝑡)+𝑋_(𝐵𝐼𝑂𝑀𝐴𝑆𝐴,𝑡 )+𝑋_(𝐵𝐼𝑂𝐺𝐴𝑆,𝑡)+𝑌_𝑡≤𝑇𝑚𝑎𝑥_𝑚𝑒𝑛𝑠𝑢𝑎𝑙</a:t>
              </a:r>
              <a:endParaRPr lang="es-AR" sz="1100"/>
            </a:p>
          </xdr:txBody>
        </xdr:sp>
      </mc:Fallback>
    </mc:AlternateContent>
    <xdr:clientData/>
  </xdr:oneCellAnchor>
  <xdr:twoCellAnchor>
    <xdr:from>
      <xdr:col>7</xdr:col>
      <xdr:colOff>133350</xdr:colOff>
      <xdr:row>0</xdr:row>
      <xdr:rowOff>133350</xdr:rowOff>
    </xdr:from>
    <xdr:to>
      <xdr:col>13</xdr:col>
      <xdr:colOff>485775</xdr:colOff>
      <xdr:row>3</xdr:row>
      <xdr:rowOff>47625</xdr:rowOff>
    </xdr:to>
    <xdr:sp macro="" textlink="">
      <xdr:nvSpPr>
        <xdr:cNvPr id="7" name="CuadroTexto 6">
          <a:extLst>
            <a:ext uri="{FF2B5EF4-FFF2-40B4-BE49-F238E27FC236}">
              <a16:creationId xmlns:a16="http://schemas.microsoft.com/office/drawing/2014/main" id="{1065DA87-065F-4185-8F3D-7F584E2E1337}"/>
            </a:ext>
          </a:extLst>
        </xdr:cNvPr>
        <xdr:cNvSpPr txBox="1"/>
      </xdr:nvSpPr>
      <xdr:spPr>
        <a:xfrm>
          <a:off x="8601075" y="133350"/>
          <a:ext cx="5114925"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a:t>Escenario 2-</a:t>
          </a:r>
          <a:r>
            <a:rPr lang="es-AR" sz="1100" baseline="0"/>
            <a:t> </a:t>
          </a:r>
          <a:r>
            <a:rPr lang="es-AR"/>
            <a:t>restricciones de capacidad en las líneas de transporte del NOA</a:t>
          </a:r>
          <a:endParaRPr lang="es-AR"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146824</xdr:colOff>
      <xdr:row>30</xdr:row>
      <xdr:rowOff>7433</xdr:rowOff>
    </xdr:from>
    <xdr:ext cx="1379801" cy="173766"/>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7BCC7490-CC25-466E-9B0F-D0FFAA3E5E36}"/>
                </a:ext>
              </a:extLst>
            </xdr:cNvPr>
            <xdr:cNvSpPr txBox="1"/>
          </xdr:nvSpPr>
          <xdr:spPr>
            <a:xfrm>
              <a:off x="1769884" y="5493833"/>
              <a:ext cx="137980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AR" sz="1100" b="0" i="1">
                        <a:latin typeface="Cambria Math" panose="02040503050406030204" pitchFamily="18" charset="0"/>
                      </a:rPr>
                      <m:t>𝑁𝑒𝑤𝑠𝑣𝑒𝑛𝑑𝑜𝑟</m:t>
                    </m:r>
                    <m:r>
                      <a:rPr lang="es-AR" sz="1100" b="0" i="1">
                        <a:latin typeface="Cambria Math" panose="02040503050406030204" pitchFamily="18" charset="0"/>
                      </a:rPr>
                      <m:t> </m:t>
                    </m:r>
                    <m:sSub>
                      <m:sSubPr>
                        <m:ctrlPr>
                          <a:rPr lang="es-AR" sz="1100" b="0" i="1">
                            <a:latin typeface="Cambria Math" panose="02040503050406030204" pitchFamily="18" charset="0"/>
                          </a:rPr>
                        </m:ctrlPr>
                      </m:sSubPr>
                      <m:e>
                        <m:r>
                          <a:rPr lang="es-AR" sz="1100" b="0" i="1">
                            <a:latin typeface="Cambria Math" panose="02040503050406030204" pitchFamily="18" charset="0"/>
                          </a:rPr>
                          <m:t>𝑅</m:t>
                        </m:r>
                      </m:e>
                      <m:sub>
                        <m:r>
                          <a:rPr lang="es-AR" sz="1100" b="0" i="1">
                            <a:latin typeface="Cambria Math" panose="02040503050406030204" pitchFamily="18" charset="0"/>
                          </a:rPr>
                          <m:t>𝑡</m:t>
                        </m:r>
                      </m:sub>
                    </m:sSub>
                    <m:r>
                      <a:rPr lang="es-AR" sz="1100" b="0" i="1">
                        <a:latin typeface="Cambria Math" panose="02040503050406030204" pitchFamily="18" charset="0"/>
                      </a:rPr>
                      <m:t>≥</m:t>
                    </m:r>
                    <m:r>
                      <a:rPr lang="es-AR" sz="1100" b="0" i="1">
                        <a:latin typeface="Cambria Math" panose="02040503050406030204" pitchFamily="18" charset="0"/>
                      </a:rPr>
                      <m:t>𝑆</m:t>
                    </m:r>
                    <m:sSub>
                      <m:sSubPr>
                        <m:ctrlPr>
                          <a:rPr lang="es-AR" sz="1100" b="0" i="1">
                            <a:latin typeface="Cambria Math" panose="02040503050406030204" pitchFamily="18" charset="0"/>
                          </a:rPr>
                        </m:ctrlPr>
                      </m:sSubPr>
                      <m:e>
                        <m:r>
                          <a:rPr lang="es-AR" sz="1100" b="0" i="1">
                            <a:latin typeface="Cambria Math" panose="02040503050406030204" pitchFamily="18" charset="0"/>
                          </a:rPr>
                          <m:t>𝑆</m:t>
                        </m:r>
                      </m:e>
                      <m:sub>
                        <m:r>
                          <a:rPr lang="es-AR" sz="1100" b="0" i="1">
                            <a:latin typeface="Cambria Math" panose="02040503050406030204" pitchFamily="18" charset="0"/>
                          </a:rPr>
                          <m:t>𝑡</m:t>
                        </m:r>
                      </m:sub>
                    </m:sSub>
                  </m:oMath>
                </m:oMathPara>
              </a14:m>
              <a:endParaRPr lang="es-AR" sz="1100"/>
            </a:p>
          </xdr:txBody>
        </xdr:sp>
      </mc:Choice>
      <mc:Fallback xmlns="">
        <xdr:sp macro="" textlink="">
          <xdr:nvSpPr>
            <xdr:cNvPr id="2" name="CuadroTexto 1">
              <a:extLst>
                <a:ext uri="{FF2B5EF4-FFF2-40B4-BE49-F238E27FC236}">
                  <a16:creationId xmlns:a16="http://schemas.microsoft.com/office/drawing/2014/main" id="{7BCC7490-CC25-466E-9B0F-D0FFAA3E5E36}"/>
                </a:ext>
              </a:extLst>
            </xdr:cNvPr>
            <xdr:cNvSpPr txBox="1"/>
          </xdr:nvSpPr>
          <xdr:spPr>
            <a:xfrm>
              <a:off x="1769884" y="5493833"/>
              <a:ext cx="137980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𝑁𝑒𝑤𝑠𝑣𝑒𝑛𝑑𝑜𝑟 𝑅_𝑡≥𝑆𝑆_𝑡</a:t>
              </a:r>
              <a:endParaRPr lang="es-AR" sz="1100"/>
            </a:p>
          </xdr:txBody>
        </xdr:sp>
      </mc:Fallback>
    </mc:AlternateContent>
    <xdr:clientData/>
  </xdr:oneCellAnchor>
  <xdr:oneCellAnchor>
    <xdr:from>
      <xdr:col>3</xdr:col>
      <xdr:colOff>44604</xdr:colOff>
      <xdr:row>37</xdr:row>
      <xdr:rowOff>165409</xdr:rowOff>
    </xdr:from>
    <xdr:ext cx="940322" cy="182871"/>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BBF5C126-D846-4096-B219-3BB25C79E309}"/>
                </a:ext>
              </a:extLst>
            </xdr:cNvPr>
            <xdr:cNvSpPr txBox="1"/>
          </xdr:nvSpPr>
          <xdr:spPr>
            <a:xfrm>
              <a:off x="5348124" y="6931969"/>
              <a:ext cx="9403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𝑗</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 </m:t>
                    </m:r>
                    <m:r>
                      <a:rPr lang="es-AR" sz="1100" b="0" i="1">
                        <a:latin typeface="Cambria Math" panose="02040503050406030204" pitchFamily="18" charset="0"/>
                      </a:rPr>
                      <m:t>𝐺𝑚𝑎</m:t>
                    </m:r>
                    <m:sSub>
                      <m:sSubPr>
                        <m:ctrlPr>
                          <a:rPr lang="es-AR" sz="1100" b="0" i="1">
                            <a:latin typeface="Cambria Math" panose="02040503050406030204" pitchFamily="18" charset="0"/>
                          </a:rPr>
                        </m:ctrlPr>
                      </m:sSubPr>
                      <m:e>
                        <m:r>
                          <a:rPr lang="es-AR" sz="1100" b="0" i="1">
                            <a:latin typeface="Cambria Math" panose="02040503050406030204" pitchFamily="18" charset="0"/>
                          </a:rPr>
                          <m:t>𝑥</m:t>
                        </m:r>
                      </m:e>
                      <m:sub>
                        <m:r>
                          <a:rPr lang="es-AR" sz="1100" b="0" i="1">
                            <a:latin typeface="Cambria Math" panose="02040503050406030204" pitchFamily="18" charset="0"/>
                          </a:rPr>
                          <m:t>𝑗</m:t>
                        </m:r>
                        <m:r>
                          <a:rPr lang="es-AR" sz="1100" b="0" i="1">
                            <a:latin typeface="Cambria Math" panose="02040503050406030204" pitchFamily="18" charset="0"/>
                          </a:rPr>
                          <m:t>,</m:t>
                        </m:r>
                        <m:r>
                          <a:rPr lang="es-AR" sz="1100" b="0" i="1">
                            <a:latin typeface="Cambria Math" panose="02040503050406030204" pitchFamily="18" charset="0"/>
                          </a:rPr>
                          <m:t>𝑡</m:t>
                        </m:r>
                        <m:r>
                          <a:rPr lang="es-AR" sz="1100" b="0" i="1">
                            <a:latin typeface="Cambria Math" panose="02040503050406030204" pitchFamily="18" charset="0"/>
                          </a:rPr>
                          <m:t> </m:t>
                        </m:r>
                      </m:sub>
                    </m:sSub>
                  </m:oMath>
                </m:oMathPara>
              </a14:m>
              <a:endParaRPr lang="es-AR" sz="1100"/>
            </a:p>
          </xdr:txBody>
        </xdr:sp>
      </mc:Choice>
      <mc:Fallback xmlns="">
        <xdr:sp macro="" textlink="">
          <xdr:nvSpPr>
            <xdr:cNvPr id="3" name="CuadroTexto 2">
              <a:extLst>
                <a:ext uri="{FF2B5EF4-FFF2-40B4-BE49-F238E27FC236}">
                  <a16:creationId xmlns:a16="http://schemas.microsoft.com/office/drawing/2014/main" id="{BBF5C126-D846-4096-B219-3BB25C79E309}"/>
                </a:ext>
              </a:extLst>
            </xdr:cNvPr>
            <xdr:cNvSpPr txBox="1"/>
          </xdr:nvSpPr>
          <xdr:spPr>
            <a:xfrm>
              <a:off x="5348124" y="6931969"/>
              <a:ext cx="9403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𝑋_(𝑗,𝑡)= 𝐺𝑚𝑎𝑥_(𝑗,𝑡 )</a:t>
              </a:r>
              <a:endParaRPr lang="es-AR" sz="1100"/>
            </a:p>
          </xdr:txBody>
        </xdr:sp>
      </mc:Fallback>
    </mc:AlternateContent>
    <xdr:clientData/>
  </xdr:oneCellAnchor>
  <xdr:oneCellAnchor>
    <xdr:from>
      <xdr:col>2</xdr:col>
      <xdr:colOff>183995</xdr:colOff>
      <xdr:row>60</xdr:row>
      <xdr:rowOff>7433</xdr:rowOff>
    </xdr:from>
    <xdr:ext cx="3312830" cy="176651"/>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9A00F46B-6673-4D34-8D54-B732C423F204}"/>
                </a:ext>
              </a:extLst>
            </xdr:cNvPr>
            <xdr:cNvSpPr txBox="1"/>
          </xdr:nvSpPr>
          <xdr:spPr>
            <a:xfrm>
              <a:off x="2477615" y="10980233"/>
              <a:ext cx="3312830"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𝐻𝐼𝐷𝑅𝑂</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𝐵𝐼𝑂𝑀𝐴𝑆𝐴</m:t>
                        </m:r>
                        <m:r>
                          <a:rPr lang="es-AR" sz="1100" b="0" i="1">
                            <a:latin typeface="Cambria Math" panose="02040503050406030204" pitchFamily="18" charset="0"/>
                          </a:rPr>
                          <m:t>,</m:t>
                        </m:r>
                        <m:r>
                          <a:rPr lang="es-AR" sz="1100" b="0" i="1">
                            <a:latin typeface="Cambria Math" panose="02040503050406030204" pitchFamily="18" charset="0"/>
                          </a:rPr>
                          <m:t>𝑡</m:t>
                        </m:r>
                        <m:r>
                          <a:rPr lang="es-AR" sz="1100" b="0" i="1">
                            <a:latin typeface="Cambria Math" panose="02040503050406030204" pitchFamily="18" charset="0"/>
                          </a:rPr>
                          <m:t> </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𝑋</m:t>
                        </m:r>
                      </m:e>
                      <m:sub>
                        <m:r>
                          <a:rPr lang="es-AR" sz="1100" b="0" i="1">
                            <a:latin typeface="Cambria Math" panose="02040503050406030204" pitchFamily="18" charset="0"/>
                          </a:rPr>
                          <m:t>𝐵𝐼𝑂𝐺𝐴𝑆</m:t>
                        </m:r>
                        <m:r>
                          <a:rPr lang="es-AR" sz="1100" b="0" i="1">
                            <a:latin typeface="Cambria Math" panose="02040503050406030204" pitchFamily="18" charset="0"/>
                          </a:rPr>
                          <m:t>,</m:t>
                        </m:r>
                        <m:r>
                          <a:rPr lang="es-AR" sz="1100" b="0" i="1">
                            <a:latin typeface="Cambria Math" panose="02040503050406030204" pitchFamily="18" charset="0"/>
                          </a:rPr>
                          <m:t>𝑡</m:t>
                        </m:r>
                      </m:sub>
                    </m:sSub>
                    <m:r>
                      <a:rPr lang="es-AR" sz="1100" b="0" i="1">
                        <a:latin typeface="Cambria Math" panose="02040503050406030204" pitchFamily="18" charset="0"/>
                      </a:rPr>
                      <m:t>+</m:t>
                    </m:r>
                    <m:sSub>
                      <m:sSubPr>
                        <m:ctrlPr>
                          <a:rPr lang="es-AR" sz="1100" b="0" i="1">
                            <a:latin typeface="Cambria Math" panose="02040503050406030204" pitchFamily="18" charset="0"/>
                          </a:rPr>
                        </m:ctrlPr>
                      </m:sSubPr>
                      <m:e>
                        <m:r>
                          <a:rPr lang="es-AR" sz="1100" b="0" i="1">
                            <a:latin typeface="Cambria Math" panose="02040503050406030204" pitchFamily="18" charset="0"/>
                          </a:rPr>
                          <m:t>𝑌</m:t>
                        </m:r>
                      </m:e>
                      <m:sub>
                        <m:r>
                          <a:rPr lang="es-AR" sz="1100" b="0" i="1">
                            <a:latin typeface="Cambria Math" panose="02040503050406030204" pitchFamily="18" charset="0"/>
                          </a:rPr>
                          <m:t>𝑡</m:t>
                        </m:r>
                      </m:sub>
                    </m:sSub>
                    <m:r>
                      <a:rPr lang="es-AR" sz="1100" b="0" i="1">
                        <a:latin typeface="Cambria Math" panose="02040503050406030204" pitchFamily="18" charset="0"/>
                      </a:rPr>
                      <m:t>≤</m:t>
                    </m:r>
                    <m:r>
                      <a:rPr lang="es-AR" sz="1100" b="0" i="1">
                        <a:latin typeface="Cambria Math" panose="02040503050406030204" pitchFamily="18" charset="0"/>
                      </a:rPr>
                      <m:t>𝑇𝑚𝑎</m:t>
                    </m:r>
                    <m:sSub>
                      <m:sSubPr>
                        <m:ctrlPr>
                          <a:rPr lang="es-AR" sz="1100" b="0" i="1">
                            <a:latin typeface="Cambria Math" panose="02040503050406030204" pitchFamily="18" charset="0"/>
                          </a:rPr>
                        </m:ctrlPr>
                      </m:sSubPr>
                      <m:e>
                        <m:r>
                          <a:rPr lang="es-AR" sz="1100" b="0" i="1">
                            <a:latin typeface="Cambria Math" panose="02040503050406030204" pitchFamily="18" charset="0"/>
                          </a:rPr>
                          <m:t>𝑥</m:t>
                        </m:r>
                      </m:e>
                      <m:sub>
                        <m:r>
                          <a:rPr lang="es-AR" sz="1100" b="0" i="1">
                            <a:latin typeface="Cambria Math" panose="02040503050406030204" pitchFamily="18" charset="0"/>
                          </a:rPr>
                          <m:t>𝑚𝑒𝑛𝑠𝑢𝑎𝑙</m:t>
                        </m:r>
                      </m:sub>
                    </m:sSub>
                  </m:oMath>
                </m:oMathPara>
              </a14:m>
              <a:endParaRPr lang="es-AR" sz="1100"/>
            </a:p>
          </xdr:txBody>
        </xdr:sp>
      </mc:Choice>
      <mc:Fallback xmlns="">
        <xdr:sp macro="" textlink="">
          <xdr:nvSpPr>
            <xdr:cNvPr id="4" name="CuadroTexto 3">
              <a:extLst>
                <a:ext uri="{FF2B5EF4-FFF2-40B4-BE49-F238E27FC236}">
                  <a16:creationId xmlns:a16="http://schemas.microsoft.com/office/drawing/2014/main" id="{9A00F46B-6673-4D34-8D54-B732C423F204}"/>
                </a:ext>
              </a:extLst>
            </xdr:cNvPr>
            <xdr:cNvSpPr txBox="1"/>
          </xdr:nvSpPr>
          <xdr:spPr>
            <a:xfrm>
              <a:off x="2477615" y="10980233"/>
              <a:ext cx="3312830"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𝑋_(𝐻𝐼𝐷𝑅𝑂,𝑡)+𝑋_(𝐵𝐼𝑂𝑀𝐴𝑆𝐴,𝑡 )+𝑋_(𝐵𝐼𝑂𝐺𝐴𝑆,𝑡)+𝑌_𝑡≤𝑇𝑚𝑎𝑥_𝑚𝑒𝑛𝑠𝑢𝑎𝑙</a:t>
              </a:r>
              <a:endParaRPr lang="es-AR" sz="1100"/>
            </a:p>
          </xdr:txBody>
        </xdr:sp>
      </mc:Fallback>
    </mc:AlternateContent>
    <xdr:clientData/>
  </xdr:oneCellAnchor>
  <xdr:twoCellAnchor>
    <xdr:from>
      <xdr:col>6</xdr:col>
      <xdr:colOff>809625</xdr:colOff>
      <xdr:row>0</xdr:row>
      <xdr:rowOff>171450</xdr:rowOff>
    </xdr:from>
    <xdr:to>
      <xdr:col>17</xdr:col>
      <xdr:colOff>123264</xdr:colOff>
      <xdr:row>4</xdr:row>
      <xdr:rowOff>67236</xdr:rowOff>
    </xdr:to>
    <xdr:sp macro="" textlink="">
      <xdr:nvSpPr>
        <xdr:cNvPr id="5" name="CuadroTexto 4">
          <a:extLst>
            <a:ext uri="{FF2B5EF4-FFF2-40B4-BE49-F238E27FC236}">
              <a16:creationId xmlns:a16="http://schemas.microsoft.com/office/drawing/2014/main" id="{158CBDFA-B2C2-4015-B88C-8DA19284532A}"/>
            </a:ext>
          </a:extLst>
        </xdr:cNvPr>
        <xdr:cNvSpPr txBox="1"/>
      </xdr:nvSpPr>
      <xdr:spPr>
        <a:xfrm>
          <a:off x="8788213" y="171450"/>
          <a:ext cx="8412816" cy="6129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a:t>Escenario 3-</a:t>
          </a:r>
          <a:r>
            <a:rPr lang="es-AR" sz="1100" baseline="0"/>
            <a:t> Aumento de temperatura + </a:t>
          </a:r>
          <a:r>
            <a:rPr lang="es-AR"/>
            <a:t>restricciones de capacidad en las líneas de transporte del NOA</a:t>
          </a:r>
          <a:r>
            <a:rPr lang="es-AR" sz="1100" baseline="0"/>
            <a:t>: </a:t>
          </a:r>
          <a:r>
            <a:rPr lang="es-AR" sz="1100"/>
            <a:t>Modelo</a:t>
          </a:r>
          <a:r>
            <a:rPr lang="es-AR" sz="1100" baseline="0"/>
            <a:t> de Programación Lineal Multiperiódo utilizando valores de la demanda de energía eléctrica en Tucumán en 2027 con un aumento del 10% en la temperatura en los meses estivales Dic-Enero-Febrero-Marzo-Abril + una disminución de la capacidad de transporte de energía un aprox del 60%</a:t>
          </a:r>
          <a:endParaRPr lang="es-AR" sz="1100"/>
        </a:p>
      </xdr:txBody>
    </xdr:sp>
    <xdr:clientData/>
  </xdr:twoCellAnchor>
  <xdr:oneCellAnchor>
    <xdr:from>
      <xdr:col>2</xdr:col>
      <xdr:colOff>184727</xdr:colOff>
      <xdr:row>13</xdr:row>
      <xdr:rowOff>38484</xdr:rowOff>
    </xdr:from>
    <xdr:ext cx="7632346" cy="475900"/>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305777C0-8702-4F95-A7D8-FA78F67A2747}"/>
                </a:ext>
              </a:extLst>
            </xdr:cNvPr>
            <xdr:cNvSpPr txBox="1"/>
          </xdr:nvSpPr>
          <xdr:spPr>
            <a:xfrm>
              <a:off x="2478347" y="2415924"/>
              <a:ext cx="7632346"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s-AR" sz="1100" b="0" i="1">
                            <a:latin typeface="Cambria Math" panose="02040503050406030204" pitchFamily="18" charset="0"/>
                          </a:rPr>
                        </m:ctrlPr>
                      </m:funcPr>
                      <m:fName>
                        <m:r>
                          <a:rPr lang="es-AR" sz="1100" b="0" i="1">
                            <a:latin typeface="Cambria Math" panose="02040503050406030204" pitchFamily="18" charset="0"/>
                          </a:rPr>
                          <m:t> </m:t>
                        </m:r>
                      </m:fName>
                      <m:e>
                        <m:func>
                          <m:funcPr>
                            <m:ctrlPr>
                              <a:rPr lang="es-AR" sz="1100" i="1">
                                <a:solidFill>
                                  <a:schemeClr val="tx1"/>
                                </a:solidFill>
                                <a:effectLst/>
                                <a:latin typeface="Cambria Math" panose="02040503050406030204" pitchFamily="18" charset="0"/>
                                <a:ea typeface="+mn-ea"/>
                                <a:cs typeface="+mn-cs"/>
                              </a:rPr>
                            </m:ctrlPr>
                          </m:funcPr>
                          <m:fName>
                            <m:r>
                              <m:rPr>
                                <m:sty m:val="p"/>
                              </m:rPr>
                              <a:rPr lang="es-AR" sz="1100">
                                <a:solidFill>
                                  <a:schemeClr val="tx1"/>
                                </a:solidFill>
                                <a:effectLst/>
                                <a:latin typeface="Cambria Math" panose="02040503050406030204" pitchFamily="18" charset="0"/>
                                <a:ea typeface="+mn-ea"/>
                                <a:cs typeface="+mn-cs"/>
                              </a:rPr>
                              <m:t>min</m:t>
                            </m:r>
                          </m:fName>
                          <m:e>
                            <m:r>
                              <a:rPr lang="es-AR" sz="1100" i="1">
                                <a:solidFill>
                                  <a:schemeClr val="tx1"/>
                                </a:solidFill>
                                <a:effectLst/>
                                <a:latin typeface="Cambria Math" panose="02040503050406030204" pitchFamily="18" charset="0"/>
                                <a:ea typeface="+mn-ea"/>
                                <a:cs typeface="+mn-cs"/>
                              </a:rPr>
                              <m:t>𝑍</m:t>
                            </m:r>
                            <m:r>
                              <a:rPr lang="es-AR" sz="1100" i="1">
                                <a:solidFill>
                                  <a:schemeClr val="tx1"/>
                                </a:solidFill>
                                <a:effectLst/>
                                <a:latin typeface="Cambria Math" panose="02040503050406030204" pitchFamily="18" charset="0"/>
                                <a:ea typeface="+mn-ea"/>
                                <a:cs typeface="+mn-cs"/>
                              </a:rPr>
                              <m:t>= </m:t>
                            </m:r>
                            <m:nary>
                              <m:naryPr>
                                <m:chr m:val="∑"/>
                                <m:limLoc m:val="undOvr"/>
                                <m:ctrlPr>
                                  <a:rPr lang="es-AR" sz="1100" i="1">
                                    <a:solidFill>
                                      <a:schemeClr val="tx1"/>
                                    </a:solidFill>
                                    <a:effectLst/>
                                    <a:latin typeface="Cambria Math" panose="02040503050406030204" pitchFamily="18" charset="0"/>
                                    <a:ea typeface="+mn-ea"/>
                                    <a:cs typeface="+mn-cs"/>
                                  </a:rPr>
                                </m:ctrlPr>
                              </m:naryPr>
                              <m:sub>
                                <m:r>
                                  <a:rPr lang="es-AR" sz="1100" i="1">
                                    <a:solidFill>
                                      <a:schemeClr val="tx1"/>
                                    </a:solidFill>
                                    <a:effectLst/>
                                    <a:latin typeface="Cambria Math" panose="02040503050406030204" pitchFamily="18" charset="0"/>
                                    <a:ea typeface="+mn-ea"/>
                                    <a:cs typeface="+mn-cs"/>
                                  </a:rPr>
                                  <m:t>𝑡</m:t>
                                </m:r>
                                <m:r>
                                  <a:rPr lang="es-AR" sz="1100" i="1">
                                    <a:solidFill>
                                      <a:schemeClr val="tx1"/>
                                    </a:solidFill>
                                    <a:effectLst/>
                                    <a:latin typeface="Cambria Math" panose="02040503050406030204" pitchFamily="18" charset="0"/>
                                    <a:ea typeface="+mn-ea"/>
                                    <a:cs typeface="+mn-cs"/>
                                  </a:rPr>
                                  <m:t>=1</m:t>
                                </m:r>
                              </m:sub>
                              <m:sup>
                                <m:r>
                                  <a:rPr lang="es-AR" sz="1100" i="1">
                                    <a:solidFill>
                                      <a:schemeClr val="tx1"/>
                                    </a:solidFill>
                                    <a:effectLst/>
                                    <a:latin typeface="Cambria Math" panose="02040503050406030204" pitchFamily="18" charset="0"/>
                                    <a:ea typeface="+mn-ea"/>
                                    <a:cs typeface="+mn-cs"/>
                                  </a:rPr>
                                  <m:t>12</m:t>
                                </m:r>
                              </m:sup>
                              <m:e>
                                <m:r>
                                  <a:rPr lang="es-AR" sz="1100" i="1">
                                    <a:solidFill>
                                      <a:schemeClr val="tx1"/>
                                    </a:solidFill>
                                    <a:effectLst/>
                                    <a:latin typeface="Cambria Math" panose="02040503050406030204" pitchFamily="18" charset="0"/>
                                    <a:ea typeface="+mn-ea"/>
                                    <a:cs typeface="+mn-cs"/>
                                  </a:rPr>
                                  <m:t>( </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𝐻𝐼𝐷𝑅𝑂</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𝐻𝐼𝐷𝑅𝑂</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𝐵𝐼𝑂𝑀𝐴𝑆𝐴</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𝐵𝐼𝑂𝑀𝐴𝑆𝐴</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𝐵𝐼𝑂𝐺𝐴𝑆</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𝑋</m:t>
                                    </m:r>
                                  </m:e>
                                  <m:sub>
                                    <m:r>
                                      <a:rPr lang="es-AR" sz="1100" b="0" i="1">
                                        <a:solidFill>
                                          <a:schemeClr val="tx1"/>
                                        </a:solidFill>
                                        <a:effectLst/>
                                        <a:latin typeface="Cambria Math" panose="02040503050406030204" pitchFamily="18" charset="0"/>
                                        <a:ea typeface="+mn-ea"/>
                                        <a:cs typeface="+mn-cs"/>
                                      </a:rPr>
                                      <m:t>𝐵𝐼𝑂𝐺𝐴𝑆</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𝑚𝑒𝑚</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𝑌</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𝐶</m:t>
                                    </m:r>
                                  </m:e>
                                  <m:sub>
                                    <m:r>
                                      <a:rPr lang="es-AR" sz="1100" b="0" i="1">
                                        <a:solidFill>
                                          <a:schemeClr val="tx1"/>
                                        </a:solidFill>
                                        <a:effectLst/>
                                        <a:latin typeface="Cambria Math" panose="02040503050406030204" pitchFamily="18" charset="0"/>
                                        <a:ea typeface="+mn-ea"/>
                                        <a:cs typeface="+mn-cs"/>
                                      </a:rPr>
                                      <m:t>𝑟𝑒𝑠𝐸𝑞𝑢𝑖𝑣</m:t>
                                    </m:r>
                                  </m:sub>
                                </m:sSub>
                                <m:r>
                                  <a:rPr lang="es-AR" sz="1100" b="0" i="1">
                                    <a:solidFill>
                                      <a:schemeClr val="tx1"/>
                                    </a:solidFill>
                                    <a:effectLst/>
                                    <a:latin typeface="Cambria Math" panose="02040503050406030204" pitchFamily="18" charset="0"/>
                                    <a:ea typeface="+mn-ea"/>
                                    <a:cs typeface="+mn-cs"/>
                                  </a:rPr>
                                  <m:t>∗</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𝑅</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𝐶𝐸𝑁𝑆</m:t>
                                </m:r>
                                <m:r>
                                  <a:rPr lang="es-AR" sz="1100" b="0" i="1">
                                    <a:solidFill>
                                      <a:schemeClr val="tx1"/>
                                    </a:solidFill>
                                    <a:effectLst/>
                                    <a:latin typeface="Cambria Math" panose="02040503050406030204" pitchFamily="18" charset="0"/>
                                    <a:ea typeface="+mn-ea"/>
                                    <a:cs typeface="+mn-cs"/>
                                  </a:rPr>
                                  <m:t>∗</m:t>
                                </m:r>
                                <m:r>
                                  <a:rPr lang="es-AR" sz="1100" b="0" i="1">
                                    <a:solidFill>
                                      <a:schemeClr val="tx1"/>
                                    </a:solidFill>
                                    <a:effectLst/>
                                    <a:latin typeface="Cambria Math" panose="02040503050406030204" pitchFamily="18" charset="0"/>
                                    <a:ea typeface="+mn-ea"/>
                                    <a:cs typeface="+mn-cs"/>
                                  </a:rPr>
                                  <m:t>𝐸𝑁</m:t>
                                </m:r>
                                <m:sSub>
                                  <m:sSubPr>
                                    <m:ctrlPr>
                                      <a:rPr lang="es-AR" sz="1100" b="0" i="1">
                                        <a:solidFill>
                                          <a:schemeClr val="tx1"/>
                                        </a:solidFill>
                                        <a:effectLst/>
                                        <a:latin typeface="Cambria Math" panose="02040503050406030204" pitchFamily="18" charset="0"/>
                                        <a:ea typeface="+mn-ea"/>
                                        <a:cs typeface="+mn-cs"/>
                                      </a:rPr>
                                    </m:ctrlPr>
                                  </m:sSubPr>
                                  <m:e>
                                    <m:r>
                                      <a:rPr lang="es-AR" sz="1100" b="0" i="1">
                                        <a:solidFill>
                                          <a:schemeClr val="tx1"/>
                                        </a:solidFill>
                                        <a:effectLst/>
                                        <a:latin typeface="Cambria Math" panose="02040503050406030204" pitchFamily="18" charset="0"/>
                                        <a:ea typeface="+mn-ea"/>
                                        <a:cs typeface="+mn-cs"/>
                                      </a:rPr>
                                      <m:t>𝑆</m:t>
                                    </m:r>
                                  </m:e>
                                  <m:sub>
                                    <m:r>
                                      <a:rPr lang="es-AR" sz="1100" b="0" i="1">
                                        <a:solidFill>
                                          <a:schemeClr val="tx1"/>
                                        </a:solidFill>
                                        <a:effectLst/>
                                        <a:latin typeface="Cambria Math" panose="02040503050406030204" pitchFamily="18" charset="0"/>
                                        <a:ea typeface="+mn-ea"/>
                                        <a:cs typeface="+mn-cs"/>
                                      </a:rPr>
                                      <m:t>𝑡</m:t>
                                    </m:r>
                                  </m:sub>
                                </m:sSub>
                                <m:r>
                                  <a:rPr lang="es-AR" sz="1100" b="0" i="1">
                                    <a:solidFill>
                                      <a:schemeClr val="tx1"/>
                                    </a:solidFill>
                                    <a:effectLst/>
                                    <a:latin typeface="Cambria Math" panose="02040503050406030204" pitchFamily="18" charset="0"/>
                                    <a:ea typeface="+mn-ea"/>
                                    <a:cs typeface="+mn-cs"/>
                                  </a:rPr>
                                  <m:t>)</m:t>
                                </m:r>
                              </m:e>
                            </m:nary>
                          </m:e>
                        </m:func>
                      </m:e>
                    </m:func>
                  </m:oMath>
                </m:oMathPara>
              </a14:m>
              <a:endParaRPr lang="es-AR" sz="1100"/>
            </a:p>
          </xdr:txBody>
        </xdr:sp>
      </mc:Choice>
      <mc:Fallback xmlns="">
        <xdr:sp macro="" textlink="">
          <xdr:nvSpPr>
            <xdr:cNvPr id="7" name="CuadroTexto 6">
              <a:extLst>
                <a:ext uri="{FF2B5EF4-FFF2-40B4-BE49-F238E27FC236}">
                  <a16:creationId xmlns:a16="http://schemas.microsoft.com/office/drawing/2014/main" id="{305777C0-8702-4F95-A7D8-FA78F67A2747}"/>
                </a:ext>
              </a:extLst>
            </xdr:cNvPr>
            <xdr:cNvSpPr txBox="1"/>
          </xdr:nvSpPr>
          <xdr:spPr>
            <a:xfrm>
              <a:off x="2478347" y="2415924"/>
              <a:ext cx="7632346"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AR" sz="1100" b="0" i="0">
                  <a:latin typeface="Cambria Math" panose="02040503050406030204" pitchFamily="18" charset="0"/>
                </a:rPr>
                <a:t> ⁡</a:t>
              </a:r>
              <a:r>
                <a:rPr lang="es-AR" sz="1100" i="0">
                  <a:solidFill>
                    <a:schemeClr val="tx1"/>
                  </a:solidFill>
                  <a:effectLst/>
                  <a:latin typeface="Cambria Math" panose="02040503050406030204" pitchFamily="18" charset="0"/>
                  <a:ea typeface="+mn-ea"/>
                  <a:cs typeface="+mn-cs"/>
                </a:rPr>
                <a:t>min⁡〖𝑍= ∑1_(𝑡=1)^12</a:t>
              </a:r>
              <a:r>
                <a:rPr lang="es-AR" sz="1100" b="0" i="0">
                  <a:solidFill>
                    <a:schemeClr val="tx1"/>
                  </a:solidFill>
                  <a:effectLst/>
                  <a:latin typeface="Cambria Math" panose="02040503050406030204" pitchFamily="18" charset="0"/>
                  <a:ea typeface="+mn-ea"/>
                  <a:cs typeface="+mn-cs"/>
                </a:rPr>
                <a:t>▒〖</a:t>
              </a:r>
              <a:r>
                <a:rPr lang="es-AR" sz="1100" i="0">
                  <a:solidFill>
                    <a:schemeClr val="tx1"/>
                  </a:solidFill>
                  <a:effectLst/>
                  <a:latin typeface="Cambria Math" panose="02040503050406030204" pitchFamily="18" charset="0"/>
                  <a:ea typeface="+mn-ea"/>
                  <a:cs typeface="+mn-cs"/>
                </a:rPr>
                <a:t>( </a:t>
              </a:r>
              <a:r>
                <a:rPr lang="es-AR" sz="1100" b="0" i="0">
                  <a:solidFill>
                    <a:schemeClr val="tx1"/>
                  </a:solidFill>
                  <a:effectLst/>
                  <a:latin typeface="Cambria Math" panose="02040503050406030204" pitchFamily="18" charset="0"/>
                  <a:ea typeface="+mn-ea"/>
                  <a:cs typeface="+mn-cs"/>
                </a:rPr>
                <a:t>𝐶_𝐻𝐼𝐷𝑅𝑂∗𝑋_(𝐻𝐼𝐷𝑅𝑂,𝑡)+𝐶_𝐵𝐼𝑂𝑀𝐴𝑆𝐴∗𝑋_(𝐵𝐼𝑂𝑀𝐴𝑆𝐴,𝑡)+𝐶_𝐵𝐼𝑂𝐺𝐴𝑆∗𝑋_(𝐵𝐼𝑂𝐺𝐴𝑆,𝑡)+𝐶_(𝑚𝑒𝑚,𝑡)∗𝑌_𝑡+𝐶_𝑟𝑒𝑠𝐸𝑞𝑢𝑖𝑣∗𝑅_𝑡+𝐶𝐸𝑁𝑆∗𝐸𝑁𝑆_𝑡)〗〗 </a:t>
              </a:r>
              <a:endParaRPr lang="es-AR" sz="1100"/>
            </a:p>
          </xdr:txBody>
        </xdr:sp>
      </mc:Fallback>
    </mc:AlternateContent>
    <xdr:clientData/>
  </xdr:oneCellAnchor>
  <xdr:oneCellAnchor>
    <xdr:from>
      <xdr:col>2</xdr:col>
      <xdr:colOff>69272</xdr:colOff>
      <xdr:row>23</xdr:row>
      <xdr:rowOff>38485</xdr:rowOff>
    </xdr:from>
    <xdr:ext cx="3870675" cy="191078"/>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80F29D08-4061-443E-B185-0D616B50D139}"/>
                </a:ext>
              </a:extLst>
            </xdr:cNvPr>
            <xdr:cNvSpPr txBox="1"/>
          </xdr:nvSpPr>
          <xdr:spPr>
            <a:xfrm>
              <a:off x="2362892" y="4244725"/>
              <a:ext cx="38706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d>
                    <m:dPr>
                      <m:ctrlPr>
                        <a:rPr lang="es-AR" sz="1100" b="0" i="1">
                          <a:latin typeface="Cambria Math" panose="02040503050406030204" pitchFamily="18" charset="0"/>
                        </a:rPr>
                      </m:ctrlPr>
                    </m:dPr>
                    <m:e>
                      <m:r>
                        <a:rPr lang="es-AR" sz="1100" b="0" i="1">
                          <a:latin typeface="Cambria Math" panose="02040503050406030204" pitchFamily="18" charset="0"/>
                        </a:rPr>
                        <m:t>1−</m:t>
                      </m:r>
                      <m:r>
                        <a:rPr lang="el-GR" sz="1100" b="0" i="1">
                          <a:latin typeface="Cambria Math" panose="02040503050406030204" pitchFamily="18" charset="0"/>
                        </a:rPr>
                        <m:t>𝜂</m:t>
                      </m:r>
                    </m:e>
                  </m:d>
                  <m:r>
                    <a:rPr lang="es-AR" sz="1100" b="0" i="0">
                      <a:latin typeface="Cambria Math" panose="02040503050406030204" pitchFamily="18" charset="0"/>
                    </a:rPr>
                    <m:t>∗</m:t>
                  </m:r>
                  <m:d>
                    <m:dPr>
                      <m:ctrlPr>
                        <a:rPr lang="es-AR" sz="1100" b="0" i="1">
                          <a:latin typeface="Cambria Math" panose="02040503050406030204" pitchFamily="18" charset="0"/>
                        </a:rPr>
                      </m:ctrlPr>
                    </m:dPr>
                    <m:e>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HIDRO</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BIOMASA</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X</m:t>
                          </m:r>
                        </m:e>
                        <m:sub>
                          <m:r>
                            <m:rPr>
                              <m:sty m:val="p"/>
                            </m:rPr>
                            <a:rPr lang="es-AR" sz="1100" b="0" i="0">
                              <a:latin typeface="Cambria Math" panose="02040503050406030204" pitchFamily="18" charset="0"/>
                            </a:rPr>
                            <m:t>BIOGAS</m:t>
                          </m:r>
                          <m:r>
                            <a:rPr lang="es-AR" sz="1100" b="0" i="0">
                              <a:latin typeface="Cambria Math" panose="02040503050406030204" pitchFamily="18" charset="0"/>
                            </a:rPr>
                            <m:t>,</m:t>
                          </m:r>
                          <m:r>
                            <m:rPr>
                              <m:sty m:val="p"/>
                            </m:rPr>
                            <a:rPr lang="es-AR" sz="1100" b="0" i="0">
                              <a:latin typeface="Cambria Math" panose="02040503050406030204" pitchFamily="18" charset="0"/>
                            </a:rPr>
                            <m:t>t</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Y</m:t>
                          </m:r>
                        </m:e>
                        <m:sub>
                          <m:r>
                            <m:rPr>
                              <m:sty m:val="p"/>
                            </m:rPr>
                            <a:rPr lang="es-AR" sz="1100" b="0" i="0">
                              <a:latin typeface="Cambria Math" panose="02040503050406030204" pitchFamily="18" charset="0"/>
                            </a:rPr>
                            <m:t>t</m:t>
                          </m:r>
                        </m:sub>
                      </m:sSub>
                    </m:e>
                  </m:d>
                  <m:r>
                    <a:rPr lang="es-AR" sz="1100" b="0" i="1">
                      <a:latin typeface="Cambria Math" panose="02040503050406030204" pitchFamily="18" charset="0"/>
                    </a:rPr>
                    <m:t>+</m:t>
                  </m:r>
                  <m:r>
                    <a:rPr lang="es-AR" sz="1100" b="0" i="1">
                      <a:latin typeface="Cambria Math" panose="02040503050406030204" pitchFamily="18" charset="0"/>
                    </a:rPr>
                    <m:t>𝐸𝑁</m:t>
                  </m:r>
                  <m:sSub>
                    <m:sSubPr>
                      <m:ctrlPr>
                        <a:rPr lang="es-AR" sz="1100" b="0" i="1">
                          <a:latin typeface="Cambria Math" panose="02040503050406030204" pitchFamily="18" charset="0"/>
                        </a:rPr>
                      </m:ctrlPr>
                    </m:sSubPr>
                    <m:e>
                      <m:r>
                        <a:rPr lang="es-AR" sz="1100" b="0" i="1">
                          <a:latin typeface="Cambria Math" panose="02040503050406030204" pitchFamily="18" charset="0"/>
                        </a:rPr>
                        <m:t>𝑆</m:t>
                      </m:r>
                    </m:e>
                    <m:sub>
                      <m:r>
                        <a:rPr lang="es-AR" sz="1100" b="0" i="1">
                          <a:latin typeface="Cambria Math" panose="02040503050406030204" pitchFamily="18" charset="0"/>
                        </a:rPr>
                        <m:t>𝑡</m:t>
                      </m:r>
                    </m:sub>
                  </m:sSub>
                  <m:r>
                    <a:rPr lang="es-AR" sz="1100" b="0" i="0">
                      <a:latin typeface="Cambria Math" panose="02040503050406030204" pitchFamily="18" charset="0"/>
                    </a:rPr>
                    <m:t>=</m:t>
                  </m:r>
                  <m:sSub>
                    <m:sSubPr>
                      <m:ctrlPr>
                        <a:rPr lang="es-AR" sz="1100" b="0" i="1">
                          <a:latin typeface="Cambria Math" panose="02040503050406030204" pitchFamily="18" charset="0"/>
                        </a:rPr>
                      </m:ctrlPr>
                    </m:sSubPr>
                    <m:e>
                      <m:r>
                        <m:rPr>
                          <m:sty m:val="p"/>
                        </m:rPr>
                        <a:rPr lang="es-AR" sz="1100" b="0" i="0">
                          <a:latin typeface="Cambria Math" panose="02040503050406030204" pitchFamily="18" charset="0"/>
                        </a:rPr>
                        <m:t>D</m:t>
                      </m:r>
                    </m:e>
                    <m:sub>
                      <m:r>
                        <m:rPr>
                          <m:sty m:val="p"/>
                        </m:rPr>
                        <a:rPr lang="es-AR" sz="1100" b="0" i="0">
                          <a:latin typeface="Cambria Math" panose="02040503050406030204" pitchFamily="18" charset="0"/>
                        </a:rPr>
                        <m:t>t</m:t>
                      </m:r>
                    </m:sub>
                  </m:sSub>
                </m:oMath>
              </a14:m>
              <a:r>
                <a:rPr lang="es-AR" sz="1100"/>
                <a:t> </a:t>
              </a:r>
            </a:p>
          </xdr:txBody>
        </xdr:sp>
      </mc:Choice>
      <mc:Fallback xmlns="">
        <xdr:sp macro="" textlink="">
          <xdr:nvSpPr>
            <xdr:cNvPr id="8" name="CuadroTexto 7">
              <a:extLst>
                <a:ext uri="{FF2B5EF4-FFF2-40B4-BE49-F238E27FC236}">
                  <a16:creationId xmlns:a16="http://schemas.microsoft.com/office/drawing/2014/main" id="{80F29D08-4061-443E-B185-0D616B50D139}"/>
                </a:ext>
              </a:extLst>
            </xdr:cNvPr>
            <xdr:cNvSpPr txBox="1"/>
          </xdr:nvSpPr>
          <xdr:spPr>
            <a:xfrm>
              <a:off x="2362892" y="4244725"/>
              <a:ext cx="38706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AR" sz="1100" b="0" i="0">
                  <a:latin typeface="Cambria Math" panose="02040503050406030204" pitchFamily="18" charset="0"/>
                </a:rPr>
                <a:t>(1−</a:t>
              </a:r>
              <a:r>
                <a:rPr lang="el-GR" sz="1100" b="0" i="0">
                  <a:latin typeface="Cambria Math" panose="02040503050406030204" pitchFamily="18" charset="0"/>
                </a:rPr>
                <a:t>𝜂)</a:t>
              </a:r>
              <a:r>
                <a:rPr lang="es-AR" sz="1100" b="0" i="0">
                  <a:latin typeface="Cambria Math" panose="02040503050406030204" pitchFamily="18" charset="0"/>
                </a:rPr>
                <a:t>∗(X_(HIDRO,t)+X_(BIOMASA,t)+X_(BIOGAS,t)+Y_t )+𝐸𝑁𝑆_𝑡=D_t</a:t>
              </a:r>
              <a:r>
                <a:rPr lang="es-AR" sz="1100"/>
                <a:t> </a:t>
              </a:r>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4</xdr:col>
      <xdr:colOff>590550</xdr:colOff>
      <xdr:row>1</xdr:row>
      <xdr:rowOff>161925</xdr:rowOff>
    </xdr:from>
    <xdr:ext cx="1494448" cy="270587"/>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7B041E00-E4F1-AFBA-79B4-90808B2420DE}"/>
                </a:ext>
              </a:extLst>
            </xdr:cNvPr>
            <xdr:cNvSpPr txBox="1"/>
          </xdr:nvSpPr>
          <xdr:spPr>
            <a:xfrm>
              <a:off x="3295650" y="161925"/>
              <a:ext cx="1494448" cy="270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𝑇𝑎𝑟𝑖𝑓𝑎</m:t>
                      </m:r>
                    </m:e>
                    <m:sub>
                      <m:r>
                        <a:rPr lang="es-ES" sz="1100" b="0" i="1">
                          <a:latin typeface="Cambria Math" panose="02040503050406030204" pitchFamily="18" charset="0"/>
                        </a:rPr>
                        <m:t>𝑡</m:t>
                      </m:r>
                    </m:sub>
                  </m:sSub>
                  <m:r>
                    <a:rPr lang="es-ES" sz="1100" b="0" i="0">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𝐶𝑜𝑠𝑡𝑜</m:t>
                          </m:r>
                          <m:r>
                            <a:rPr lang="es-ES" sz="1100" b="0" i="1">
                              <a:latin typeface="Cambria Math" panose="02040503050406030204" pitchFamily="18" charset="0"/>
                            </a:rPr>
                            <m:t>_</m:t>
                          </m:r>
                          <m:r>
                            <a:rPr lang="es-ES" sz="1100" b="0" i="1">
                              <a:latin typeface="Cambria Math" panose="02040503050406030204" pitchFamily="18" charset="0"/>
                            </a:rPr>
                            <m:t>𝑚𝑒𝑛𝑠𝑢𝑎𝑙</m:t>
                          </m:r>
                        </m:e>
                        <m:sub>
                          <m:r>
                            <a:rPr lang="es-ES" sz="1100" b="0" i="1">
                              <a:latin typeface="Cambria Math" panose="02040503050406030204" pitchFamily="18" charset="0"/>
                            </a:rPr>
                            <m:t>𝑡</m:t>
                          </m:r>
                        </m:sub>
                      </m:sSub>
                    </m:num>
                    <m:den>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𝐷</m:t>
                              </m:r>
                            </m:e>
                            <m:sub>
                              <m:r>
                                <a:rPr lang="es-ES" sz="1100" b="0" i="1">
                                  <a:latin typeface="Cambria Math" panose="02040503050406030204" pitchFamily="18" charset="0"/>
                                </a:rPr>
                                <m:t>𝑡</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𝐸𝑁𝑆</m:t>
                              </m:r>
                            </m:e>
                            <m:sub>
                              <m:r>
                                <a:rPr lang="es-ES" sz="1100" b="0" i="1">
                                  <a:latin typeface="Cambria Math" panose="02040503050406030204" pitchFamily="18" charset="0"/>
                                </a:rPr>
                                <m:t>𝑡</m:t>
                              </m:r>
                            </m:sub>
                          </m:sSub>
                        </m:e>
                      </m:d>
                      <m:r>
                        <a:rPr lang="es-ES" sz="1100" b="0" i="1">
                          <a:latin typeface="Cambria Math" panose="02040503050406030204" pitchFamily="18" charset="0"/>
                        </a:rPr>
                        <m:t>∗1000</m:t>
                      </m:r>
                    </m:den>
                  </m:f>
                </m:oMath>
              </a14:m>
              <a:r>
                <a:rPr lang="es-AR" sz="1100"/>
                <a:t> </a:t>
              </a:r>
            </a:p>
          </xdr:txBody>
        </xdr:sp>
      </mc:Choice>
      <mc:Fallback xmlns="">
        <xdr:sp macro="" textlink="">
          <xdr:nvSpPr>
            <xdr:cNvPr id="3" name="CuadroTexto 2">
              <a:extLst>
                <a:ext uri="{FF2B5EF4-FFF2-40B4-BE49-F238E27FC236}">
                  <a16:creationId xmlns:a16="http://schemas.microsoft.com/office/drawing/2014/main" id="{7B041E00-E4F1-AFBA-79B4-90808B2420DE}"/>
                </a:ext>
              </a:extLst>
            </xdr:cNvPr>
            <xdr:cNvSpPr txBox="1"/>
          </xdr:nvSpPr>
          <xdr:spPr>
            <a:xfrm>
              <a:off x="3295650" y="161925"/>
              <a:ext cx="1494448" cy="270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〖𝑇𝑎𝑟𝑖𝑓𝑎〗_𝑡=〖𝐶𝑜𝑠𝑡𝑜_𝑚𝑒𝑛𝑠𝑢𝑎𝑙〗_𝑡/((𝐷_𝑡−〖𝐸𝑁𝑆〗_𝑡 )∗1000)</a:t>
              </a:r>
              <a:r>
                <a:rPr lang="es-AR" sz="1100"/>
                <a:t> </a:t>
              </a:r>
            </a:p>
          </xdr:txBody>
        </xdr:sp>
      </mc:Fallback>
    </mc:AlternateContent>
    <xdr:clientData/>
  </xdr:oneCellAnchor>
  <xdr:oneCellAnchor>
    <xdr:from>
      <xdr:col>3</xdr:col>
      <xdr:colOff>371475</xdr:colOff>
      <xdr:row>10</xdr:row>
      <xdr:rowOff>180975</xdr:rowOff>
    </xdr:from>
    <xdr:ext cx="2149499" cy="270587"/>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29082C5A-A7F4-4480-8E10-868C5AEEA0D3}"/>
                </a:ext>
              </a:extLst>
            </xdr:cNvPr>
            <xdr:cNvSpPr txBox="1"/>
          </xdr:nvSpPr>
          <xdr:spPr>
            <a:xfrm>
              <a:off x="2486025" y="2085975"/>
              <a:ext cx="2149499" cy="270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𝑇𝑎𝑟𝑖𝑓𝑎</m:t>
                      </m:r>
                      <m:r>
                        <a:rPr lang="es-ES" sz="1100" b="0" i="1">
                          <a:latin typeface="Cambria Math" panose="02040503050406030204" pitchFamily="18" charset="0"/>
                        </a:rPr>
                        <m:t>_</m:t>
                      </m:r>
                      <m:r>
                        <a:rPr lang="es-ES" sz="1100" b="0" i="1">
                          <a:latin typeface="Cambria Math" panose="02040503050406030204" pitchFamily="18" charset="0"/>
                        </a:rPr>
                        <m:t>𝑎𝑛𝑢𝑎𝑙</m:t>
                      </m:r>
                    </m:e>
                    <m:sub>
                      <m:r>
                        <a:rPr lang="es-ES" sz="1100" b="0" i="1">
                          <a:latin typeface="Cambria Math" panose="02040503050406030204" pitchFamily="18" charset="0"/>
                        </a:rPr>
                        <m:t>𝑡</m:t>
                      </m:r>
                    </m:sub>
                  </m:sSub>
                  <m:r>
                    <a:rPr lang="es-ES" sz="1100" b="0" i="0">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𝐶𝑜𝑠𝑡𝑜</m:t>
                      </m:r>
                      <m:r>
                        <a:rPr lang="es-ES" sz="1100" b="0" i="1">
                          <a:latin typeface="Cambria Math" panose="02040503050406030204" pitchFamily="18" charset="0"/>
                        </a:rPr>
                        <m:t> </m:t>
                      </m:r>
                      <m:r>
                        <a:rPr lang="es-ES" sz="1100" b="0" i="1">
                          <a:latin typeface="Cambria Math" panose="02040503050406030204" pitchFamily="18" charset="0"/>
                        </a:rPr>
                        <m:t>𝑡𝑜𝑡𝑎𝑙</m:t>
                      </m:r>
                      <m:r>
                        <a:rPr lang="es-ES" sz="1100" b="0" i="1">
                          <a:latin typeface="Cambria Math" panose="02040503050406030204" pitchFamily="18" charset="0"/>
                        </a:rPr>
                        <m:t> </m:t>
                      </m:r>
                      <m:r>
                        <a:rPr lang="es-ES" sz="1100" b="0" i="1">
                          <a:latin typeface="Cambria Math" panose="02040503050406030204" pitchFamily="18" charset="0"/>
                        </a:rPr>
                        <m:t>𝑎𝑛𝑢𝑎𝑙</m:t>
                      </m:r>
                    </m:num>
                    <m:den>
                      <m:d>
                        <m:dPr>
                          <m:ctrlPr>
                            <a:rPr lang="es-ES" sz="1100" b="0" i="1">
                              <a:latin typeface="Cambria Math" panose="02040503050406030204" pitchFamily="18" charset="0"/>
                            </a:rPr>
                          </m:ctrlPr>
                        </m:dPr>
                        <m:e>
                          <m:nary>
                            <m:naryPr>
                              <m:chr m:val="∑"/>
                              <m:subHide m:val="on"/>
                              <m:supHide m:val="on"/>
                              <m:ctrlPr>
                                <a:rPr lang="es-ES" sz="1100" b="0" i="1">
                                  <a:latin typeface="Cambria Math" panose="02040503050406030204" pitchFamily="18" charset="0"/>
                                </a:rPr>
                              </m:ctrlPr>
                            </m:naryP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𝐷</m:t>
                                  </m:r>
                                </m:e>
                                <m:sub>
                                  <m:r>
                                    <a:rPr lang="es-ES" sz="1100" b="0" i="1">
                                      <a:latin typeface="Cambria Math" panose="02040503050406030204" pitchFamily="18" charset="0"/>
                                    </a:rPr>
                                    <m:t>𝑡</m:t>
                                  </m:r>
                                </m:sub>
                              </m:sSub>
                            </m:e>
                          </m:nary>
                          <m:r>
                            <a:rPr lang="es-ES" sz="1100" b="0" i="1">
                              <a:latin typeface="Cambria Math" panose="02040503050406030204" pitchFamily="18" charset="0"/>
                            </a:rPr>
                            <m:t>−</m:t>
                          </m:r>
                          <m:nary>
                            <m:naryPr>
                              <m:chr m:val="∑"/>
                              <m:subHide m:val="on"/>
                              <m:supHide m:val="on"/>
                              <m:ctrlPr>
                                <a:rPr lang="es-ES" sz="1100" b="0" i="1">
                                  <a:latin typeface="Cambria Math" panose="02040503050406030204" pitchFamily="18" charset="0"/>
                                </a:rPr>
                              </m:ctrlPr>
                            </m:naryP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𝐸𝑁𝑆</m:t>
                                  </m:r>
                                </m:e>
                                <m:sub>
                                  <m:r>
                                    <a:rPr lang="es-ES" sz="1100" b="0" i="1">
                                      <a:latin typeface="Cambria Math" panose="02040503050406030204" pitchFamily="18" charset="0"/>
                                    </a:rPr>
                                    <m:t>𝑡</m:t>
                                  </m:r>
                                </m:sub>
                              </m:sSub>
                            </m:e>
                          </m:nary>
                        </m:e>
                      </m:d>
                      <m:r>
                        <a:rPr lang="es-ES" sz="1100" b="0" i="1">
                          <a:latin typeface="Cambria Math" panose="02040503050406030204" pitchFamily="18" charset="0"/>
                        </a:rPr>
                        <m:t>∗1000</m:t>
                      </m:r>
                    </m:den>
                  </m:f>
                </m:oMath>
              </a14:m>
              <a:r>
                <a:rPr lang="es-AR" sz="1100"/>
                <a:t> </a:t>
              </a:r>
            </a:p>
          </xdr:txBody>
        </xdr:sp>
      </mc:Choice>
      <mc:Fallback xmlns="">
        <xdr:sp macro="" textlink="">
          <xdr:nvSpPr>
            <xdr:cNvPr id="5" name="CuadroTexto 4">
              <a:extLst>
                <a:ext uri="{FF2B5EF4-FFF2-40B4-BE49-F238E27FC236}">
                  <a16:creationId xmlns:a16="http://schemas.microsoft.com/office/drawing/2014/main" id="{29082C5A-A7F4-4480-8E10-868C5AEEA0D3}"/>
                </a:ext>
              </a:extLst>
            </xdr:cNvPr>
            <xdr:cNvSpPr txBox="1"/>
          </xdr:nvSpPr>
          <xdr:spPr>
            <a:xfrm>
              <a:off x="2486025" y="2085975"/>
              <a:ext cx="2149499" cy="270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〖𝑇𝑎𝑟𝑖𝑓𝑎_𝑎𝑛𝑢𝑎𝑙〗_𝑡=(𝐶𝑜𝑠𝑡𝑜 𝑡𝑜𝑡𝑎𝑙 𝑎𝑛𝑢𝑎𝑙)/((∑▒𝐷_𝑡 −∑▒〖𝐸𝑁𝑆〗_𝑡 )∗1000)</a:t>
              </a:r>
              <a:r>
                <a:rPr lang="es-AR" sz="1100"/>
                <a:t> </a:t>
              </a:r>
            </a:p>
          </xdr:txBody>
        </xdr:sp>
      </mc:Fallback>
    </mc:AlternateContent>
    <xdr:clientData/>
  </xdr:oneCellAnchor>
  <xdr:oneCellAnchor>
    <xdr:from>
      <xdr:col>3</xdr:col>
      <xdr:colOff>390525</xdr:colOff>
      <xdr:row>21</xdr:row>
      <xdr:rowOff>133350</xdr:rowOff>
    </xdr:from>
    <xdr:ext cx="1833194" cy="346570"/>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40B466E0-1253-A204-1561-11EBA2BE208E}"/>
                </a:ext>
              </a:extLst>
            </xdr:cNvPr>
            <xdr:cNvSpPr txBox="1"/>
          </xdr:nvSpPr>
          <xdr:spPr>
            <a:xfrm>
              <a:off x="2505075" y="4133850"/>
              <a:ext cx="1833194"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𝐻𝑜𝑟𝑎𝑠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𝑐𝑜𝑟𝑡𝑒</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𝐸𝑁𝑆</m:t>
                            </m:r>
                          </m:e>
                          <m:sub>
                            <m:r>
                              <a:rPr lang="es-ES" sz="1100" b="0" i="1">
                                <a:latin typeface="Cambria Math" panose="02040503050406030204" pitchFamily="18" charset="0"/>
                              </a:rPr>
                              <m:t>𝑡</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𝐷</m:t>
                            </m:r>
                          </m:e>
                          <m:sub>
                            <m:r>
                              <a:rPr lang="es-ES" sz="1100" b="0" i="1">
                                <a:latin typeface="Cambria Math" panose="02040503050406030204" pitchFamily="18" charset="0"/>
                              </a:rPr>
                              <m:t>𝑡</m:t>
                            </m:r>
                          </m:sub>
                        </m:sSub>
                      </m:den>
                    </m:f>
                    <m:r>
                      <a:rPr lang="es-ES" sz="1100" b="0" i="1">
                        <a:latin typeface="Cambria Math" panose="02040503050406030204" pitchFamily="18" charset="0"/>
                      </a:rPr>
                      <m:t>∗720</m:t>
                    </m:r>
                  </m:oMath>
                </m:oMathPara>
              </a14:m>
              <a:endParaRPr lang="es-AR" sz="1100"/>
            </a:p>
          </xdr:txBody>
        </xdr:sp>
      </mc:Choice>
      <mc:Fallback xmlns="">
        <xdr:sp macro="" textlink="">
          <xdr:nvSpPr>
            <xdr:cNvPr id="7" name="CuadroTexto 6">
              <a:extLst>
                <a:ext uri="{FF2B5EF4-FFF2-40B4-BE49-F238E27FC236}">
                  <a16:creationId xmlns:a16="http://schemas.microsoft.com/office/drawing/2014/main" id="{40B466E0-1253-A204-1561-11EBA2BE208E}"/>
                </a:ext>
              </a:extLst>
            </xdr:cNvPr>
            <xdr:cNvSpPr txBox="1"/>
          </xdr:nvSpPr>
          <xdr:spPr>
            <a:xfrm>
              <a:off x="2505075" y="4133850"/>
              <a:ext cx="1833194"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𝐻𝑜𝑟𝑎𝑠 𝑑𝑒 𝑐𝑜𝑟𝑡𝑒=〖𝐸𝑁𝑆〗_𝑡/𝐷_𝑡 ∗720</a:t>
              </a:r>
              <a:endParaRPr lang="es-AR" sz="1100"/>
            </a:p>
          </xdr:txBody>
        </xdr:sp>
      </mc:Fallback>
    </mc:AlternateContent>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5293A0-B72B-4FCF-A680-184857A178D1}" name="Tabla1" displayName="Tabla1" ref="N8:O11" headerRowCount="0" totalsRowShown="0">
  <tableColumns count="2">
    <tableColumn id="1" xr3:uid="{68280666-9237-4478-9CE8-54A5B9848FF2}" name="Columna1" headerRowDxfId="109" dataDxfId="108"/>
    <tableColumn id="2" xr3:uid="{CBCB19FB-66E5-47AA-9E90-21A4D6DC5D00}" name="Columna2" headerRowDxfId="107" dataDxfId="10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C3160C-1B9A-4A79-AC79-C17E0112FE33}" name="Tabla2" displayName="Tabla2" ref="Q9:R10" headerRowCount="0" totalsRowShown="0">
  <tableColumns count="2">
    <tableColumn id="1" xr3:uid="{32BC117A-4082-4AE2-B141-D191090DD48E}" name="Columna1" dataDxfId="105"/>
    <tableColumn id="2" xr3:uid="{04E2B8F4-5DD3-4BEA-B506-214FE95CCAAF}" name="Columna2">
      <calculatedColumnFormula>AVERAGE(L6:L89)</calculatedColumnFormula>
    </tableColumn>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469F71-11FC-4F3F-BE79-49DD077D2FC8}" name="Tabla3" displayName="Tabla3" ref="A6:L102" totalsRowShown="0" headerRowDxfId="104" dataDxfId="103">
  <autoFilter ref="A6:L102" xr:uid="{AC5AAD14-15E8-4405-AD85-D8B0B5B8472E}"/>
  <tableColumns count="12">
    <tableColumn id="1" xr3:uid="{6A45CE9A-8F98-43F4-A65C-08B9A80CE158}" name="Fecha" dataDxfId="102"/>
    <tableColumn id="2" xr3:uid="{35F473B2-C121-43A1-8C49-0F301BD86DE8}" name="Demanda GWh" dataDxfId="101"/>
    <tableColumn id="3" xr3:uid="{E5DD06F7-A376-48DE-9FE1-B97EEFB1B205}" name="Temp" dataDxfId="100"/>
    <tableColumn id="4" xr3:uid="{DE744B75-F246-4C53-9AC2-3A357C1A4A64}" name="Temp^2" dataDxfId="99">
      <calculatedColumnFormula>POWER(C7,2)</calculatedColumnFormula>
    </tableColumn>
    <tableColumn id="5" xr3:uid="{AF7C0886-15FD-4EE9-A14C-5F41BD737A01}" name="Nivel (L)" dataDxfId="98">
      <calculatedColumnFormula>$O$8+($O$9*C7)+($O$10*D7)</calculatedColumnFormula>
    </tableColumn>
    <tableColumn id="6" xr3:uid="{D7C42A15-6638-410E-92E7-F778DCA539A0}" name="Tendencia (T)" dataDxfId="97">
      <calculatedColumnFormula>$O$11*K7</calculatedColumnFormula>
    </tableColumn>
    <tableColumn id="7" xr3:uid="{009368E9-EBBE-4420-BBC5-A37B80FAC407}" name="Estaci (S)" dataDxfId="96"/>
    <tableColumn id="8" xr3:uid="{0684A1BA-7DA0-42A3-8137-4ADD706FA2FC}" name="Pron (F)" dataDxfId="95">
      <calculatedColumnFormula>E7+F7+G7</calculatedColumnFormula>
    </tableColumn>
    <tableColumn id="9" xr3:uid="{44609A98-AECA-4EAE-B312-23A963984473}" name="ERROR GWh" dataDxfId="94"/>
    <tableColumn id="10" xr3:uid="{64693570-CD68-4223-B46D-EFC6CC9E7F70}" name="ERROR ABS" dataDxfId="93"/>
    <tableColumn id="11" xr3:uid="{9760904B-23D8-4E9D-A502-FF5E9B01D729}" name="t" dataDxfId="92"/>
    <tableColumn id="12" xr3:uid="{A0D2C793-AF1F-4118-B71B-9C978C261B5B}" name="MAPE" dataDxfId="91"/>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BFC572-F20F-47D5-B035-CA9941D24C05}" name="Tabla4" displayName="Tabla4" ref="N14:O26" totalsRowShown="0">
  <autoFilter ref="N14:O26" xr:uid="{DC68F26A-85CC-4BAB-918E-114E2D5B44B1}"/>
  <tableColumns count="2">
    <tableColumn id="1" xr3:uid="{525CD598-95A3-4BA8-88BD-B87EBDE2FA28}" name="Dummies"/>
    <tableColumn id="2" xr3:uid="{E71817A6-2233-44D9-BB5A-F72B8F58DD62}" name="Valor" dataDxfId="90"/>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B44B06-E31D-4EBB-AFCD-39543616AC3E}" name="Tabla5" displayName="Tabla5" ref="A111:G123" totalsRowShown="0" dataDxfId="89">
  <autoFilter ref="A111:G123" xr:uid="{40B44B06-E31D-4EBB-AFCD-39543616AC3E}"/>
  <tableColumns count="7">
    <tableColumn id="1" xr3:uid="{3C5B7EB1-4633-44DC-B7CA-713CC54AFA15}" name="Fecha" dataDxfId="88"/>
    <tableColumn id="2" xr3:uid="{221A81BC-2F90-4B84-895C-2B964E2072AF}" name="Temp Base °C" dataDxfId="87">
      <calculatedColumnFormula>C91</calculatedColumnFormula>
    </tableColumn>
    <tableColumn id="3" xr3:uid="{C191E8BF-DEB4-4196-B089-343A4EC738A3}" name="Temp Sensibilizada" dataDxfId="86"/>
    <tableColumn id="4" xr3:uid="{7D1212D3-95CF-4E2E-8867-99B7A0861E3B}" name="Temp2 Sensibilizada" dataDxfId="85">
      <calculatedColumnFormula>C112^2</calculatedColumnFormula>
    </tableColumn>
    <tableColumn id="5" xr3:uid="{E3AB2C20-E7B2-4168-811E-4D1328ACD1CB}" name="Pronostico base" dataDxfId="84">
      <calculatedColumnFormula>H91</calculatedColumnFormula>
    </tableColumn>
    <tableColumn id="6" xr3:uid="{0C17F74E-67C3-4E36-A158-96A550F6AFBD}" name="Pron Sensibilizado" dataDxfId="83">
      <calculatedColumnFormula>$O$8 + ($O$9 * C112) + ($O$10 * D112) + ($O$11 * K91) + VLOOKUP(A112, $N$15:$O$26, 2, FALSE)</calculatedColumnFormula>
    </tableColumn>
    <tableColumn id="7" xr3:uid="{C4D1B561-DAF5-48B5-806F-474A689A2E04}" name="Variación" dataDxfId="82">
      <calculatedColumnFormula>Tabla5[[#This Row],[Pron Sensibilizado]]-Tabla5[[#This Row],[Pronostico base]]</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06FC61-967F-4B08-A92F-38CA0D82C868}" name="Tabla6" displayName="Tabla6" ref="E125:G126" totalsRowShown="0">
  <autoFilter ref="E125:G126" xr:uid="{FC06FC61-967F-4B08-A92F-38CA0D82C868}"/>
  <tableColumns count="3">
    <tableColumn id="1" xr3:uid="{ED6C437C-9398-4027-A172-9F19E73ED0D6}" name="Total Base Anual" dataDxfId="81">
      <calculatedColumnFormula>SUM(Tabla5[Pronostico base])</calculatedColumnFormula>
    </tableColumn>
    <tableColumn id="2" xr3:uid="{72FEF228-CB3F-4052-B196-8DFA45F7BEAB}" name="Total Sensibilizado Anual" dataDxfId="80">
      <calculatedColumnFormula>SUM(Tabla5[Pron Sensibilizado])</calculatedColumnFormula>
    </tableColumn>
    <tableColumn id="3" xr3:uid="{3DEBA703-D5CD-4558-ABBA-B7F90D417086}" name="Variación total GWh" dataDxfId="79">
      <calculatedColumnFormula>SUM(Tabla5[Variación])</calculatedColumnFormula>
    </tableColumn>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B25C47-E966-442F-8ACB-AFF247E5A1BE}" name="Tabla7" displayName="Tabla7" ref="A7:M10" totalsRowShown="0" headerRowDxfId="78" dataDxfId="77" headerRowBorderDxfId="75" tableBorderDxfId="76">
  <autoFilter ref="A7:M10" xr:uid="{F7B25C47-E966-442F-8ACB-AFF247E5A1BE}"/>
  <tableColumns count="13">
    <tableColumn id="1" xr3:uid="{99A226A3-2B6E-4CE2-8323-3BF877C4AE8A}" name="Mes" dataDxfId="74"/>
    <tableColumn id="2" xr3:uid="{1FB0B5FF-0A57-4004-A2E1-56A8CE22DD43}" name="Ene" dataDxfId="73"/>
    <tableColumn id="3" xr3:uid="{48AAE5DC-C738-4515-B84D-40FD3F928352}" name="Feb" dataDxfId="72"/>
    <tableColumn id="4" xr3:uid="{A2B4C0D0-A4F4-44E2-969C-79D3A20DCE0E}" name="Mar" dataDxfId="71"/>
    <tableColumn id="5" xr3:uid="{46B6A6AA-7E66-4D44-9357-0E5ED8B74DC1}" name="Abr" dataDxfId="70"/>
    <tableColumn id="6" xr3:uid="{5F97CF5A-A8D5-4966-B9B7-7AA1A3F31AC6}" name="May" dataDxfId="69"/>
    <tableColumn id="7" xr3:uid="{C78EF45F-1C83-4AF1-A477-14BEB409D8EF}" name="Jun" dataDxfId="68"/>
    <tableColumn id="8" xr3:uid="{923911EE-4CC4-495A-971E-E0CFC46855DD}" name="Jul" dataDxfId="67"/>
    <tableColumn id="9" xr3:uid="{A2FC0FE4-D19B-49B7-BA48-E9C73982F8E2}" name="Ago" dataDxfId="66"/>
    <tableColumn id="10" xr3:uid="{504C3AC5-735B-45BD-982E-61E9986B0E35}" name="Sep" dataDxfId="65"/>
    <tableColumn id="11" xr3:uid="{F2DE8179-2973-40C9-ABFB-5279E88F44AC}" name="Oct" dataDxfId="64"/>
    <tableColumn id="12" xr3:uid="{E6186E03-0147-4A8D-ADBE-9B8F5A933D9A}" name="Nov" dataDxfId="63"/>
    <tableColumn id="13" xr3:uid="{2F3086B6-0CFB-4E33-9F4F-00E86181B525}" name="Dic" dataDxfId="6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A5F015-C8FC-41D4-B3F6-0BCAA3EDADCF}" name="Tabla8" displayName="Tabla8" ref="A8:M9" totalsRowShown="0" headerRowDxfId="61" dataDxfId="60" headerRowBorderDxfId="58" tableBorderDxfId="59">
  <autoFilter ref="A8:M9" xr:uid="{30A5F015-C8FC-41D4-B3F6-0BCAA3EDADCF}"/>
  <tableColumns count="13">
    <tableColumn id="1" xr3:uid="{FA947496-F12E-421B-BC16-9887478A05DC}" name="C_mem" dataDxfId="57"/>
    <tableColumn id="2" xr3:uid="{545C0177-494D-436F-A69A-5DEB68E403BE}" name="Ene" dataDxfId="56"/>
    <tableColumn id="3" xr3:uid="{F2E3D1F5-A49B-4D2A-B535-1054A31BED40}" name="Feb" dataDxfId="55"/>
    <tableColumn id="4" xr3:uid="{089BFAA6-5DFD-458E-9D04-9D8CB5A13EC8}" name="Mar" dataDxfId="54"/>
    <tableColumn id="5" xr3:uid="{E2A4EBB1-70CF-4E14-9404-F9CC55B433B2}" name="Abr" dataDxfId="53"/>
    <tableColumn id="6" xr3:uid="{0C46712E-5AD9-4F2A-9A4F-0E630D50D9AF}" name="May" dataDxfId="52"/>
    <tableColumn id="7" xr3:uid="{B0DC17EE-CEF9-4141-9A03-6E321446864F}" name="Jun" dataDxfId="51"/>
    <tableColumn id="8" xr3:uid="{4E11B90A-4722-46AD-B467-E0311CBAA620}" name="Jul" dataDxfId="50"/>
    <tableColumn id="9" xr3:uid="{E4BAAD8B-33F2-4E07-BCBE-B37C9AAEF83B}" name="Ago" dataDxfId="49"/>
    <tableColumn id="10" xr3:uid="{9F6E508B-9474-4998-86EE-F0EC00251444}" name="Sep" dataDxfId="48"/>
    <tableColumn id="11" xr3:uid="{DFD8B7B4-A980-491B-9366-231B5CC7A6EA}" name="Oct" dataDxfId="47"/>
    <tableColumn id="12" xr3:uid="{0744536A-E473-488E-AF1D-D2B0BB5CF980}" name="Nov" dataDxfId="46"/>
    <tableColumn id="13" xr3:uid="{8181E01E-93AF-4BD1-9C4E-A8EC18EC0A1C}" name="Dic" dataDxfId="45"/>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EB2088-EE68-479F-B405-FC3ECE329B72}" name="Tabla9" displayName="Tabla9" ref="A25:M31" totalsRowShown="0" headerRowDxfId="44" headerRowBorderDxfId="42" tableBorderDxfId="43">
  <autoFilter ref="A25:M31" xr:uid="{87EB2088-EE68-479F-B405-FC3ECE329B72}"/>
  <tableColumns count="13">
    <tableColumn id="1" xr3:uid="{2BE02F89-89DA-4346-9BBD-204D65F6B597}" name="Columna1" dataDxfId="41"/>
    <tableColumn id="2" xr3:uid="{9A1119DA-52C5-4909-BC8C-97699927BFAA}" name="Ene" dataDxfId="40"/>
    <tableColumn id="3" xr3:uid="{ADFA3804-10ED-49C1-8477-3F53F0A08CC3}" name="Feb" dataDxfId="39"/>
    <tableColumn id="4" xr3:uid="{2C672A59-9001-489B-850F-B99C243D0002}" name="Mar" dataDxfId="38"/>
    <tableColumn id="5" xr3:uid="{BFB7FD7F-1313-4D9F-9CE0-1B8BBFC26507}" name="Abr" dataDxfId="37"/>
    <tableColumn id="6" xr3:uid="{D263F9C1-92C1-4CD2-8540-6CB8FA760E5C}" name="May" dataDxfId="36"/>
    <tableColumn id="7" xr3:uid="{3ECF2453-F2E3-40A6-817B-3CC270516076}" name="Jun" dataDxfId="35"/>
    <tableColumn id="8" xr3:uid="{311955C2-D6BD-4DF8-8887-D9BF46707546}" name="Jul" dataDxfId="34"/>
    <tableColumn id="9" xr3:uid="{2CB92C08-E515-44E3-8E7F-F8C16CDD8C7F}" name="Ago" dataDxfId="33"/>
    <tableColumn id="10" xr3:uid="{7BBECEED-B600-44A7-8C47-D20F0FD68C3C}" name="Sep" dataDxfId="32"/>
    <tableColumn id="11" xr3:uid="{F2840D2E-62CB-4953-8872-3B91317C76C8}" name="Oct" dataDxfId="31"/>
    <tableColumn id="12" xr3:uid="{5399281F-DABA-4477-9728-5556CC7BC0D0}" name="Nov" dataDxfId="30"/>
    <tableColumn id="13" xr3:uid="{012AF747-79A2-4BA2-8707-B48D241BDAC7}" name="Dic" dataDxfId="29"/>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8A61BE-8C2D-4EF7-B5F8-517D67A06B20}" name="Tabla14" displayName="Tabla14" ref="A5:E16" totalsRowShown="0">
  <autoFilter ref="A5:E16" xr:uid="{408A61BE-8C2D-4EF7-B5F8-517D67A06B20}"/>
  <tableColumns count="5">
    <tableColumn id="1" xr3:uid="{E07C35B5-F9FB-43AB-A342-2269F3A71F74}" name="Parámetro" dataDxfId="28"/>
    <tableColumn id="2" xr3:uid="{E9AFE6F6-5985-47E5-BB69-8DAD740CA982}" name="Valor" dataDxfId="27"/>
    <tableColumn id="3" xr3:uid="{A24710F5-FC03-4A40-AADD-4FF7B3CF3961}" name="Unidad" dataDxfId="26"/>
    <tableColumn id="4" xr3:uid="{C0827002-2FE1-4451-A4E6-776FEBA43A5F}" name="Valor convertido" dataDxfId="25"/>
    <tableColumn id="5" xr3:uid="{6EB27649-46A7-4075-86D1-CC8AB77F1AA7}" name="Unidad convertida" dataDxfId="2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EE84E5B-723A-4379-B72A-91DDC10DBC36}" name="Tabla15" displayName="Tabla15" ref="A19:E22" totalsRowShown="0">
  <autoFilter ref="A19:E22" xr:uid="{EEE84E5B-723A-4379-B72A-91DDC10DBC36}"/>
  <tableColumns count="5">
    <tableColumn id="1" xr3:uid="{4AD53CFD-8A03-4996-9335-16108BFE7033}" name="Parámetro"/>
    <tableColumn id="2" xr3:uid="{BAD148EC-269E-493B-9FEA-4B8873BB44C2}" name="Valor"/>
    <tableColumn id="3" xr3:uid="{5EA622EA-1CD1-4F29-AD77-FF5BAC8078EA}" name="Unidad"/>
    <tableColumn id="4" xr3:uid="{FE4E635F-BC87-49CE-8C52-D201FA73B518}" name="Valor convertido"/>
    <tableColumn id="5" xr3:uid="{689FBD45-4D52-4ADB-BBDC-361773A8D97E}" name="Unidad convertida"/>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4DAA39-99C5-4274-9907-C09BF02F618B}" name="Tabla10" displayName="Tabla10" ref="A5:N16" totalsRowShown="0">
  <autoFilter ref="A5:N16" xr:uid="{6E4DAA39-99C5-4274-9907-C09BF02F618B}"/>
  <tableColumns count="14">
    <tableColumn id="1" xr3:uid="{D68016D3-544C-43F5-8988-22F0A4549FE2}" name="Mes" dataDxfId="23"/>
    <tableColumn id="2" xr3:uid="{605FE88C-C2B1-41A0-8255-96A6BFF12A12}" name="Unidad"/>
    <tableColumn id="3" xr3:uid="{37722B05-DACD-49BD-A667-1C50FBDA6F76}" name="Ene"/>
    <tableColumn id="4" xr3:uid="{85DA9D4A-2771-49A8-B83E-EB02C8071393}" name="Feb"/>
    <tableColumn id="5" xr3:uid="{2B0787C9-B209-43C3-B7CF-7D83AB892461}" name="Mar"/>
    <tableColumn id="6" xr3:uid="{9D516E1C-37BE-41CE-B787-0EBC719A01C4}" name="Abr"/>
    <tableColumn id="7" xr3:uid="{1B58FAE9-10E0-4858-908A-F926B1C7B916}" name="May"/>
    <tableColumn id="8" xr3:uid="{4338FAD1-6ED3-4FB0-BA41-E38543CD324C}" name="Jun"/>
    <tableColumn id="9" xr3:uid="{21FDE5D6-0514-45D7-8830-496A40522354}" name="Jul"/>
    <tableColumn id="10" xr3:uid="{02FAA7E6-75A6-49FA-A59B-11F4BEE5B9C2}" name="Ago"/>
    <tableColumn id="11" xr3:uid="{372E4B21-BB16-4B28-913D-D19A039CD9FD}" name="Sep"/>
    <tableColumn id="12" xr3:uid="{5A34376C-BC7D-4883-A38E-884B2093D0E7}" name="Oct"/>
    <tableColumn id="13" xr3:uid="{F37DD640-482D-4BDA-B26C-89AF28658103}" name="Nov"/>
    <tableColumn id="14" xr3:uid="{6909C0FA-1AB0-487A-9EBE-E29AB121BCB9}" name="Dic"/>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A817E24-FA5C-41D8-BFA5-A6154B92349C}" name="Tabla11" displayName="Tabla11" ref="A5:M9" totalsRowShown="0" headerRowDxfId="22" dataDxfId="21">
  <autoFilter ref="A5:M9" xr:uid="{BA817E24-FA5C-41D8-BFA5-A6154B92349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276B79E-D296-46D8-9A60-6A86142A7C45}" name="Corridas" dataDxfId="20"/>
    <tableColumn id="2" xr3:uid="{0B63333C-CE79-4822-A8B2-0846A7F079E7}" name="Ene" dataDxfId="19"/>
    <tableColumn id="3" xr3:uid="{0B30F2FF-9CBC-4FF2-9F8C-18215489CA8D}" name="Feb" dataDxfId="18"/>
    <tableColumn id="4" xr3:uid="{A1A814FA-B5DC-43A0-A0D3-D528D3964281}" name="Mar" dataDxfId="17"/>
    <tableColumn id="5" xr3:uid="{FDD4BD84-363D-4480-85C4-1FBFE558C4F2}" name="Abr" dataDxfId="16"/>
    <tableColumn id="6" xr3:uid="{49329371-B4E9-451D-81CD-2FC718A834A1}" name="May" dataDxfId="15"/>
    <tableColumn id="7" xr3:uid="{5183C8E4-7E1A-4DDC-8EBA-A15243EEC4DB}" name="Jun" dataDxfId="14"/>
    <tableColumn id="8" xr3:uid="{A47321B2-D267-4AF8-B736-0E6074AD67F8}" name="Jul" dataDxfId="13"/>
    <tableColumn id="9" xr3:uid="{1C8C2448-36C4-459A-83E2-F02A9FBFF5E5}" name="Ago" dataDxfId="12"/>
    <tableColumn id="10" xr3:uid="{F8365D67-3680-4364-A040-04C2545D7560}" name="Sep" dataDxfId="11"/>
    <tableColumn id="11" xr3:uid="{827C06FF-44DC-4467-B7E6-74579521354F}" name="Oct" dataDxfId="10"/>
    <tableColumn id="12" xr3:uid="{9C904AE1-36E2-4792-852D-88A42086D971}" name="Nov" dataDxfId="9"/>
    <tableColumn id="13" xr3:uid="{3ED834BC-FC83-492E-B3D0-E485C102422D}" name="Dic" dataDxfId="8"/>
  </tableColumns>
  <tableStyleInfo name="TableStyleMedium2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252433B-7A64-4B47-B894-781F6ABBEB34}" name="Tabla12" displayName="Tabla12" ref="A14:B18" totalsRowShown="0" headerRowDxfId="7" dataDxfId="6">
  <autoFilter ref="A14:B18" xr:uid="{B252433B-7A64-4B47-B894-781F6ABBEB34}">
    <filterColumn colId="0" hiddenButton="1"/>
    <filterColumn colId="1" hiddenButton="1"/>
  </autoFilter>
  <tableColumns count="2">
    <tableColumn id="1" xr3:uid="{64B31231-3951-4382-8349-7E4EFC3CFF8C}" name="Corridas" dataDxfId="5"/>
    <tableColumn id="2" xr3:uid="{E699EFE0-8DEC-4ED8-A177-05C769F50AB0}" name="Valores" dataDxfId="4"/>
  </tableColumns>
  <tableStyleInfo name="TableStyleMedium2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D173684-8974-45CF-B819-FB61CB494A0E}" name="Tabla13" displayName="Tabla13" ref="A25:B29" totalsRowShown="0" headerRowDxfId="3" dataDxfId="2">
  <autoFilter ref="A25:B29" xr:uid="{ED173684-8974-45CF-B819-FB61CB494A0E}">
    <filterColumn colId="0" hiddenButton="1"/>
    <filterColumn colId="1" hiddenButton="1"/>
  </autoFilter>
  <tableColumns count="2">
    <tableColumn id="1" xr3:uid="{92D584BC-8011-43B2-AA9D-29E930452E54}" name="Corridas" dataDxfId="1"/>
    <tableColumn id="2" xr3:uid="{0FCCA7F0-D935-4FD6-B6C7-87ADD189272B}" name="Valores" dataDxfId="0"/>
  </tableColumns>
  <tableStyleInfo name="TableStyleMedium2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35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E70A214-6B6D-489D-A655-B347C019A7DA}">
  <we:reference id="wa200009486" version="1.0.1.6" store="es-ES" storeType="OMEX"/>
  <we:alternateReferences>
    <we:reference id="WA200009486" version="1.0.1.6" store="WA20000948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_xldudf_SOLVER_BASIN_HOPPING</we:customFunctionIds>
        <we:customFunctionIds>_xldudf_SOLVER_BRUTE</we:customFunctionIds>
        <we:customFunctionIds>_xldudf_SOLVER_CA_MINIMIZE</we:customFunctionIds>
        <we:customFunctionIds>_xldudf_SOLVER_CA_QUAD_PROG</we:customFunctionIds>
        <we:customFunctionIds>_xldudf_SOLVER_CA_ROOT</we:customFunctionIds>
        <we:customFunctionIds>_xldudf_SOLVER_DIFF_EVOLUTION</we:customFunctionIds>
        <we:customFunctionIds>_xldudf_SOLVER_DUAL_ANNEALING</we:customFunctionIds>
        <we:customFunctionIds>_xldudf_SOLVER_FIXED_POINT</we:customFunctionIds>
        <we:customFunctionIds>_xldudf_SOLVER_LINEAR_ASSIGNMENT</we:customFunctionIds>
        <we:customFunctionIds>_xldudf_SOLVER_LINEAR_PROG</we:customFunctionIds>
        <we:customFunctionIds>_xldudf_SOLVER_MILP</we:customFunctionIds>
        <we:customFunctionIds>_xldudf_SOLVER_MINIMIZE</we:customFunctionIds>
        <we:customFunctionIds>_xldudf_SOLVER_MINIMIZE_SCALAR</we:customFunctionIds>
        <we:customFunctionIds>_xldudf_SOLVER_QUAD_ASSIGN</we:customFunctionIds>
        <we:customFunctionIds>_xldudf_SOLVER_ROOT</we:customFunctionIds>
        <we:customFunctionIds>_xldudf_SOLVER_ROOT_SCALAR</we:customFunctionIds>
        <we:customFunctionIds>_xldudf_SOLVER_SHGO</we:customFunctionIds>
      </we:customFunctionIdList>
    </a:ext>
  </we:extLst>
</we:webextension>
</file>

<file path=xl/webextensions/webextension2.xml><?xml version="1.0" encoding="utf-8"?>
<we:webextension xmlns:we="http://schemas.microsoft.com/office/webextensions/webextension/2010/11" id="{C47FA64B-E095-4E58-9FA6-5BC8F573CC7F}">
  <we:reference id="WA104100404" version="3.0.0.1" store="Omex" storeType="OMEX"/>
  <we:alternateReferences>
    <we:reference id="WA104100404" version="3.0.0.1" store="WA104100404" storeType="OMEX"/>
  </we:alternateReferences>
  <we:properties>
    <we:property name="UniqueID" value="&quot;2026617178432696215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8.xml"/><Relationship Id="rId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711AC-4A47-4C4F-BD6C-798B8D120CF0}">
  <sheetPr>
    <tabColor theme="9" tint="-0.249977111117893"/>
  </sheetPr>
  <dimension ref="A2:Z126"/>
  <sheetViews>
    <sheetView tabSelected="1" zoomScale="62" zoomScaleNormal="100" workbookViewId="0">
      <selection activeCell="O127" sqref="O127"/>
    </sheetView>
  </sheetViews>
  <sheetFormatPr defaultColWidth="11.42578125" defaultRowHeight="14.45"/>
  <cols>
    <col min="2" max="2" width="16.28515625" customWidth="1"/>
    <col min="3" max="3" width="18.42578125" customWidth="1"/>
    <col min="4" max="4" width="19.5703125" customWidth="1"/>
    <col min="5" max="5" width="16.140625" customWidth="1"/>
    <col min="6" max="6" width="23" customWidth="1"/>
    <col min="7" max="7" width="18.85546875" customWidth="1"/>
    <col min="8" max="8" width="11.7109375" bestFit="1" customWidth="1"/>
    <col min="9" max="9" width="13.7109375" customWidth="1"/>
    <col min="10" max="10" width="12.85546875" customWidth="1"/>
    <col min="11" max="11" width="11.7109375" bestFit="1" customWidth="1"/>
    <col min="12" max="12" width="12" bestFit="1" customWidth="1"/>
    <col min="14" max="15" width="12" customWidth="1"/>
    <col min="17" max="18" width="12" customWidth="1"/>
    <col min="19" max="21" width="11.7109375" bestFit="1" customWidth="1"/>
    <col min="22" max="23" width="12" bestFit="1" customWidth="1"/>
    <col min="24" max="26" width="11.7109375" bestFit="1" customWidth="1"/>
  </cols>
  <sheetData>
    <row r="2" spans="1:18">
      <c r="B2" s="93" t="s">
        <v>0</v>
      </c>
      <c r="C2" s="94"/>
      <c r="D2" s="94"/>
      <c r="E2" s="94"/>
      <c r="F2" s="94"/>
      <c r="G2" s="94"/>
      <c r="H2" s="94"/>
      <c r="I2" s="94"/>
    </row>
    <row r="3" spans="1:18">
      <c r="B3" s="94"/>
      <c r="C3" s="94"/>
      <c r="D3" s="94"/>
      <c r="E3" s="94"/>
      <c r="F3" s="94"/>
      <c r="G3" s="94"/>
      <c r="H3" s="94"/>
      <c r="I3" s="94"/>
    </row>
    <row r="6" spans="1:18">
      <c r="A6" s="18" t="s">
        <v>1</v>
      </c>
      <c r="B6" s="18" t="s">
        <v>2</v>
      </c>
      <c r="C6" s="18" t="s">
        <v>3</v>
      </c>
      <c r="D6" s="18" t="s">
        <v>4</v>
      </c>
      <c r="E6" s="18" t="s">
        <v>5</v>
      </c>
      <c r="F6" s="18" t="s">
        <v>6</v>
      </c>
      <c r="G6" s="18" t="s">
        <v>7</v>
      </c>
      <c r="H6" s="18" t="s">
        <v>8</v>
      </c>
      <c r="I6" s="18" t="s">
        <v>9</v>
      </c>
      <c r="J6" s="18" t="s">
        <v>10</v>
      </c>
      <c r="K6" s="18" t="s">
        <v>11</v>
      </c>
      <c r="L6" s="18" t="s">
        <v>12</v>
      </c>
    </row>
    <row r="7" spans="1:18">
      <c r="A7" s="18" t="s">
        <v>13</v>
      </c>
      <c r="B7" s="53">
        <v>261.36</v>
      </c>
      <c r="C7" s="18">
        <v>25</v>
      </c>
      <c r="D7" s="18">
        <f t="shared" ref="D7:D38" si="0">POWER(C7,2)</f>
        <v>625</v>
      </c>
      <c r="E7" s="53">
        <f t="shared" ref="E7:E38" si="1">$O$8+($O$9*C7)+($O$10*D7)</f>
        <v>262.95167441179638</v>
      </c>
      <c r="F7" s="54">
        <f t="shared" ref="F7:F38" si="2">$O$11*K7</f>
        <v>0</v>
      </c>
      <c r="G7" s="54">
        <f>$O$15</f>
        <v>0</v>
      </c>
      <c r="H7" s="53">
        <f t="shared" ref="H7:H38" si="3">E7+F7+G7</f>
        <v>262.95167441179638</v>
      </c>
      <c r="I7" s="54">
        <f t="shared" ref="I7:I38" si="4">B7-H7</f>
        <v>-1.5916744117963617</v>
      </c>
      <c r="J7" s="54">
        <f t="shared" ref="J7:J38" si="5">ABS(I7)</f>
        <v>1.5916744117963617</v>
      </c>
      <c r="K7" s="18">
        <v>0</v>
      </c>
      <c r="L7" s="18">
        <f t="shared" ref="L7:L38" si="6">J7/B7</f>
        <v>6.0899694360130154E-3</v>
      </c>
    </row>
    <row r="8" spans="1:18">
      <c r="A8" s="18" t="s">
        <v>14</v>
      </c>
      <c r="B8" s="53">
        <v>241.24</v>
      </c>
      <c r="C8" s="18">
        <v>24.1</v>
      </c>
      <c r="D8" s="18">
        <f t="shared" si="0"/>
        <v>580.81000000000006</v>
      </c>
      <c r="E8" s="53">
        <f t="shared" si="1"/>
        <v>247.07929845219758</v>
      </c>
      <c r="F8" s="54">
        <f t="shared" si="2"/>
        <v>0.39568716903340978</v>
      </c>
      <c r="G8" s="54">
        <f>$O$16</f>
        <v>-13.718212838546778</v>
      </c>
      <c r="H8" s="53">
        <f t="shared" si="3"/>
        <v>233.75677278268421</v>
      </c>
      <c r="I8" s="54">
        <f t="shared" si="4"/>
        <v>7.4832272173158003</v>
      </c>
      <c r="J8" s="54">
        <f t="shared" si="5"/>
        <v>7.4832272173158003</v>
      </c>
      <c r="K8" s="18">
        <v>1</v>
      </c>
      <c r="L8" s="18">
        <f t="shared" si="6"/>
        <v>3.1019844210395456E-2</v>
      </c>
      <c r="N8" s="51" t="s">
        <v>15</v>
      </c>
      <c r="O8">
        <v>538.23404029110816</v>
      </c>
    </row>
    <row r="9" spans="1:18">
      <c r="A9" s="18" t="s">
        <v>16</v>
      </c>
      <c r="B9" s="53">
        <v>207.37</v>
      </c>
      <c r="C9" s="18">
        <v>21.2</v>
      </c>
      <c r="D9" s="18">
        <f t="shared" si="0"/>
        <v>449.44</v>
      </c>
      <c r="E9" s="53">
        <f t="shared" si="1"/>
        <v>209.03426606169796</v>
      </c>
      <c r="F9" s="54">
        <f t="shared" si="2"/>
        <v>0.79137433806681956</v>
      </c>
      <c r="G9" s="54">
        <f>$O$17</f>
        <v>7.4896918450310181</v>
      </c>
      <c r="H9" s="53">
        <f t="shared" si="3"/>
        <v>217.3153322447958</v>
      </c>
      <c r="I9" s="54">
        <f t="shared" si="4"/>
        <v>-9.945332244795793</v>
      </c>
      <c r="J9" s="54">
        <f t="shared" si="5"/>
        <v>9.945332244795793</v>
      </c>
      <c r="K9" s="18">
        <v>2</v>
      </c>
      <c r="L9" s="18">
        <f t="shared" si="6"/>
        <v>4.7959358850343796E-2</v>
      </c>
      <c r="N9" s="51" t="s">
        <v>17</v>
      </c>
      <c r="O9">
        <v>-40.728377543487355</v>
      </c>
      <c r="Q9" s="68" t="s">
        <v>18</v>
      </c>
      <c r="R9">
        <f>AVERAGE(J7:J90)</f>
        <v>8.4339882060025904</v>
      </c>
    </row>
    <row r="10" spans="1:18">
      <c r="A10" s="18" t="s">
        <v>19</v>
      </c>
      <c r="B10" s="53">
        <v>189.23</v>
      </c>
      <c r="C10" s="18">
        <v>19.7</v>
      </c>
      <c r="D10" s="18">
        <f t="shared" si="0"/>
        <v>388.09</v>
      </c>
      <c r="E10" s="53">
        <f t="shared" si="1"/>
        <v>197.20111091992419</v>
      </c>
      <c r="F10" s="54">
        <f t="shared" si="2"/>
        <v>1.1870615071002293</v>
      </c>
      <c r="G10" s="54">
        <f>$O$18</f>
        <v>-15.674954492721438</v>
      </c>
      <c r="H10" s="53">
        <f t="shared" si="3"/>
        <v>182.71321793430297</v>
      </c>
      <c r="I10" s="54">
        <f t="shared" si="4"/>
        <v>6.516782065697015</v>
      </c>
      <c r="J10" s="54">
        <f t="shared" si="5"/>
        <v>6.516782065697015</v>
      </c>
      <c r="K10" s="18">
        <v>3</v>
      </c>
      <c r="L10" s="18">
        <f t="shared" si="6"/>
        <v>3.443841920254196E-2</v>
      </c>
      <c r="N10" s="51" t="s">
        <v>20</v>
      </c>
      <c r="O10">
        <v>1.1886833163325954</v>
      </c>
      <c r="Q10" s="68" t="s">
        <v>12</v>
      </c>
      <c r="R10" s="67">
        <f>AVERAGE(L7:L90)</f>
        <v>3.4041514630209609E-2</v>
      </c>
    </row>
    <row r="11" spans="1:18">
      <c r="A11" s="18" t="s">
        <v>21</v>
      </c>
      <c r="B11" s="53">
        <v>199.29</v>
      </c>
      <c r="C11" s="18">
        <v>16</v>
      </c>
      <c r="D11" s="18">
        <f t="shared" si="0"/>
        <v>256</v>
      </c>
      <c r="E11" s="53">
        <f t="shared" si="1"/>
        <v>190.8829285764549</v>
      </c>
      <c r="F11" s="54">
        <f t="shared" si="2"/>
        <v>1.5827486761336391</v>
      </c>
      <c r="G11" s="54">
        <f>$O$19</f>
        <v>-3.0721556374488395</v>
      </c>
      <c r="H11" s="53">
        <f t="shared" si="3"/>
        <v>189.39352161513969</v>
      </c>
      <c r="I11" s="54">
        <f t="shared" si="4"/>
        <v>9.896478384860302</v>
      </c>
      <c r="J11" s="54">
        <f t="shared" si="5"/>
        <v>9.896478384860302</v>
      </c>
      <c r="K11" s="18">
        <v>4</v>
      </c>
      <c r="L11" s="18">
        <f t="shared" si="6"/>
        <v>4.9658680239150495E-2</v>
      </c>
      <c r="N11" s="51" t="s">
        <v>22</v>
      </c>
      <c r="O11">
        <v>0.39568716903340978</v>
      </c>
    </row>
    <row r="12" spans="1:18">
      <c r="A12" s="18" t="s">
        <v>23</v>
      </c>
      <c r="B12" s="53">
        <v>203.55</v>
      </c>
      <c r="C12" s="18">
        <v>14.6</v>
      </c>
      <c r="D12" s="18">
        <f t="shared" si="0"/>
        <v>213.16</v>
      </c>
      <c r="E12" s="53">
        <f t="shared" si="1"/>
        <v>196.97946386564882</v>
      </c>
      <c r="F12" s="54">
        <f t="shared" si="2"/>
        <v>1.978435845167049</v>
      </c>
      <c r="G12" s="54">
        <f>$O$20</f>
        <v>-4.0964884967844144</v>
      </c>
      <c r="H12" s="53">
        <f t="shared" si="3"/>
        <v>194.86141121403145</v>
      </c>
      <c r="I12" s="54">
        <f t="shared" si="4"/>
        <v>8.6885887859685624</v>
      </c>
      <c r="J12" s="54">
        <f t="shared" si="5"/>
        <v>8.6885887859685624</v>
      </c>
      <c r="K12" s="18">
        <v>5</v>
      </c>
      <c r="L12" s="18">
        <f t="shared" si="6"/>
        <v>4.2685280206183063E-2</v>
      </c>
    </row>
    <row r="13" spans="1:18">
      <c r="A13" s="18" t="s">
        <v>24</v>
      </c>
      <c r="B13" s="53">
        <v>220.64</v>
      </c>
      <c r="C13" s="18">
        <v>11.7</v>
      </c>
      <c r="D13" s="18">
        <f t="shared" si="0"/>
        <v>136.88999999999999</v>
      </c>
      <c r="E13" s="53">
        <f t="shared" si="1"/>
        <v>224.43088220507511</v>
      </c>
      <c r="F13" s="54">
        <f t="shared" si="2"/>
        <v>2.3741230142004586</v>
      </c>
      <c r="G13" s="54">
        <f>$O$21</f>
        <v>-8.9372751790220292E-2</v>
      </c>
      <c r="H13" s="53">
        <f t="shared" si="3"/>
        <v>226.71563246748534</v>
      </c>
      <c r="I13" s="54">
        <f t="shared" si="4"/>
        <v>-6.0756324674853488</v>
      </c>
      <c r="J13" s="54">
        <f t="shared" si="5"/>
        <v>6.0756324674853488</v>
      </c>
      <c r="K13" s="18">
        <v>6</v>
      </c>
      <c r="L13" s="18">
        <f t="shared" si="6"/>
        <v>2.7536405309487623E-2</v>
      </c>
    </row>
    <row r="14" spans="1:18">
      <c r="A14" s="18" t="s">
        <v>25</v>
      </c>
      <c r="B14" s="53">
        <v>204.59</v>
      </c>
      <c r="C14" s="18">
        <v>12.4</v>
      </c>
      <c r="D14" s="18">
        <f t="shared" si="0"/>
        <v>153.76000000000002</v>
      </c>
      <c r="E14" s="53">
        <f t="shared" si="1"/>
        <v>215.97410547116482</v>
      </c>
      <c r="F14" s="54">
        <f t="shared" si="2"/>
        <v>2.7698101832338686</v>
      </c>
      <c r="G14" s="54">
        <f>$O$22</f>
        <v>-13.564530817770668</v>
      </c>
      <c r="H14" s="53">
        <f t="shared" si="3"/>
        <v>205.179384836628</v>
      </c>
      <c r="I14" s="54">
        <f t="shared" si="4"/>
        <v>-0.58938483662799968</v>
      </c>
      <c r="J14" s="54">
        <f t="shared" si="5"/>
        <v>0.58938483662799968</v>
      </c>
      <c r="K14" s="18">
        <v>7</v>
      </c>
      <c r="L14" s="18">
        <f t="shared" si="6"/>
        <v>2.8808096027567315E-3</v>
      </c>
      <c r="N14" t="s">
        <v>26</v>
      </c>
      <c r="O14" t="s">
        <v>27</v>
      </c>
    </row>
    <row r="15" spans="1:18">
      <c r="A15" s="18" t="s">
        <v>28</v>
      </c>
      <c r="B15" s="53">
        <v>192.14</v>
      </c>
      <c r="C15" s="18">
        <v>15.4</v>
      </c>
      <c r="D15" s="18">
        <f t="shared" si="0"/>
        <v>237.16000000000003</v>
      </c>
      <c r="E15" s="53">
        <f t="shared" si="1"/>
        <v>192.9251614228412</v>
      </c>
      <c r="F15" s="54">
        <f t="shared" si="2"/>
        <v>3.1654973522672782</v>
      </c>
      <c r="G15" s="54">
        <f>$O$23</f>
        <v>-10.740128390834071</v>
      </c>
      <c r="H15" s="53">
        <f t="shared" si="3"/>
        <v>185.35053038427441</v>
      </c>
      <c r="I15" s="54">
        <f t="shared" si="4"/>
        <v>6.7894696157255794</v>
      </c>
      <c r="J15" s="54">
        <f t="shared" si="5"/>
        <v>6.7894696157255794</v>
      </c>
      <c r="K15" s="18">
        <v>8</v>
      </c>
      <c r="L15" s="18">
        <f t="shared" si="6"/>
        <v>3.533605504176944E-2</v>
      </c>
      <c r="N15" t="s">
        <v>29</v>
      </c>
      <c r="O15">
        <v>0</v>
      </c>
      <c r="R15" t="s">
        <v>30</v>
      </c>
    </row>
    <row r="16" spans="1:18" ht="15" thickBot="1">
      <c r="A16" s="18" t="s">
        <v>31</v>
      </c>
      <c r="B16" s="53">
        <v>227.14</v>
      </c>
      <c r="C16" s="18">
        <v>17.5</v>
      </c>
      <c r="D16" s="18">
        <f t="shared" si="0"/>
        <v>306.25</v>
      </c>
      <c r="E16" s="53">
        <f t="shared" si="1"/>
        <v>189.52169890693682</v>
      </c>
      <c r="F16" s="54">
        <f t="shared" si="2"/>
        <v>3.5611845213006879</v>
      </c>
      <c r="G16" s="54">
        <f>$O$24</f>
        <v>19.240871130874236</v>
      </c>
      <c r="H16" s="53">
        <f t="shared" si="3"/>
        <v>212.32375455911173</v>
      </c>
      <c r="I16" s="54">
        <f t="shared" si="4"/>
        <v>14.816245440888252</v>
      </c>
      <c r="J16" s="54">
        <f t="shared" si="5"/>
        <v>14.816245440888252</v>
      </c>
      <c r="K16" s="18">
        <v>9</v>
      </c>
      <c r="L16" s="18">
        <f t="shared" si="6"/>
        <v>6.5229574011130817E-2</v>
      </c>
      <c r="N16" t="s">
        <v>32</v>
      </c>
      <c r="O16">
        <v>-13.718212838546778</v>
      </c>
    </row>
    <row r="17" spans="1:26">
      <c r="A17" s="18" t="s">
        <v>33</v>
      </c>
      <c r="B17" s="53">
        <v>248.91</v>
      </c>
      <c r="C17" s="18">
        <v>22.7</v>
      </c>
      <c r="D17" s="18">
        <f t="shared" si="0"/>
        <v>515.29</v>
      </c>
      <c r="E17" s="53">
        <f t="shared" si="1"/>
        <v>226.21649612696831</v>
      </c>
      <c r="F17" s="54">
        <f t="shared" si="2"/>
        <v>3.9568716903340979</v>
      </c>
      <c r="G17" s="54">
        <f>$O$25</f>
        <v>17.014535466086148</v>
      </c>
      <c r="H17" s="53">
        <f t="shared" si="3"/>
        <v>247.18790328338858</v>
      </c>
      <c r="I17" s="54">
        <f t="shared" si="4"/>
        <v>1.7220967166114178</v>
      </c>
      <c r="J17" s="54">
        <f t="shared" si="5"/>
        <v>1.7220967166114178</v>
      </c>
      <c r="K17" s="18">
        <v>10</v>
      </c>
      <c r="L17" s="18">
        <f t="shared" si="6"/>
        <v>6.918551752084761E-3</v>
      </c>
      <c r="N17" t="s">
        <v>34</v>
      </c>
      <c r="O17">
        <v>7.4896918450310181</v>
      </c>
      <c r="R17" s="50" t="s">
        <v>35</v>
      </c>
      <c r="S17" s="50"/>
    </row>
    <row r="18" spans="1:26">
      <c r="A18" s="18" t="s">
        <v>36</v>
      </c>
      <c r="B18" s="53">
        <v>271.93</v>
      </c>
      <c r="C18" s="18">
        <v>23.7</v>
      </c>
      <c r="D18" s="18">
        <f t="shared" si="0"/>
        <v>561.68999999999994</v>
      </c>
      <c r="E18" s="53">
        <f t="shared" si="1"/>
        <v>240.6430244613133</v>
      </c>
      <c r="F18" s="54">
        <f t="shared" si="2"/>
        <v>4.352558859367508</v>
      </c>
      <c r="G18" s="54">
        <f>$O$26</f>
        <v>22.117012910551907</v>
      </c>
      <c r="H18" s="53">
        <f t="shared" si="3"/>
        <v>267.11259623123271</v>
      </c>
      <c r="I18" s="54">
        <f t="shared" si="4"/>
        <v>4.8174037687672921</v>
      </c>
      <c r="J18" s="54">
        <f t="shared" si="5"/>
        <v>4.8174037687672921</v>
      </c>
      <c r="K18" s="18">
        <v>11</v>
      </c>
      <c r="L18" s="18">
        <f t="shared" si="6"/>
        <v>1.7715602429916859E-2</v>
      </c>
      <c r="N18" t="s">
        <v>37</v>
      </c>
      <c r="O18">
        <v>-15.674954492721438</v>
      </c>
      <c r="R18" t="s">
        <v>38</v>
      </c>
      <c r="S18">
        <v>0.94984255079547764</v>
      </c>
    </row>
    <row r="19" spans="1:26">
      <c r="A19" s="18" t="s">
        <v>39</v>
      </c>
      <c r="B19" s="53">
        <v>285.08999999999997</v>
      </c>
      <c r="C19" s="18">
        <v>25.1</v>
      </c>
      <c r="D19" s="18">
        <f t="shared" si="0"/>
        <v>630.0100000000001</v>
      </c>
      <c r="E19" s="53">
        <f t="shared" si="1"/>
        <v>264.83414007227407</v>
      </c>
      <c r="F19" s="54">
        <f t="shared" si="2"/>
        <v>4.7482460284009171</v>
      </c>
      <c r="G19" s="54">
        <f>$O$15</f>
        <v>0</v>
      </c>
      <c r="H19" s="53">
        <f t="shared" si="3"/>
        <v>269.58238610067497</v>
      </c>
      <c r="I19" s="54">
        <f t="shared" si="4"/>
        <v>15.507613899325008</v>
      </c>
      <c r="J19" s="54">
        <f t="shared" si="5"/>
        <v>15.507613899325008</v>
      </c>
      <c r="K19" s="18">
        <v>12</v>
      </c>
      <c r="L19" s="18">
        <f t="shared" si="6"/>
        <v>5.439550282130208E-2</v>
      </c>
      <c r="N19" t="s">
        <v>40</v>
      </c>
      <c r="O19">
        <v>-3.0721556374488395</v>
      </c>
      <c r="R19" t="s">
        <v>41</v>
      </c>
      <c r="S19">
        <v>0.90220087130165949</v>
      </c>
    </row>
    <row r="20" spans="1:26">
      <c r="A20" s="18" t="s">
        <v>42</v>
      </c>
      <c r="B20" s="53">
        <v>232.23</v>
      </c>
      <c r="C20" s="18">
        <v>25.5</v>
      </c>
      <c r="D20" s="18">
        <f t="shared" si="0"/>
        <v>650.25</v>
      </c>
      <c r="E20" s="53">
        <f t="shared" si="1"/>
        <v>272.60173937745083</v>
      </c>
      <c r="F20" s="54">
        <f t="shared" si="2"/>
        <v>5.1439331974343272</v>
      </c>
      <c r="G20" s="54">
        <f>$O$16</f>
        <v>-13.718212838546778</v>
      </c>
      <c r="H20" s="53">
        <f t="shared" si="3"/>
        <v>264.02745973633836</v>
      </c>
      <c r="I20" s="54">
        <f t="shared" si="4"/>
        <v>-31.797459736338368</v>
      </c>
      <c r="J20" s="54">
        <f t="shared" si="5"/>
        <v>31.797459736338368</v>
      </c>
      <c r="K20" s="18">
        <v>13</v>
      </c>
      <c r="L20" s="18">
        <f t="shared" si="6"/>
        <v>0.13692227419514433</v>
      </c>
      <c r="N20" t="s">
        <v>43</v>
      </c>
      <c r="O20">
        <v>-4.0964884967844144</v>
      </c>
      <c r="R20" t="s">
        <v>44</v>
      </c>
      <c r="S20">
        <v>0.88235756982663383</v>
      </c>
    </row>
    <row r="21" spans="1:26">
      <c r="A21" s="18" t="s">
        <v>45</v>
      </c>
      <c r="B21" s="53">
        <v>265.17</v>
      </c>
      <c r="C21" s="18">
        <v>24.4</v>
      </c>
      <c r="D21" s="18">
        <f t="shared" si="0"/>
        <v>595.3599999999999</v>
      </c>
      <c r="E21" s="53">
        <f t="shared" si="1"/>
        <v>252.15612744179066</v>
      </c>
      <c r="F21" s="54">
        <f t="shared" si="2"/>
        <v>5.5396203664677373</v>
      </c>
      <c r="G21" s="54">
        <f>$O$17</f>
        <v>7.4896918450310181</v>
      </c>
      <c r="H21" s="53">
        <f t="shared" si="3"/>
        <v>265.18543965328939</v>
      </c>
      <c r="I21" s="54">
        <f t="shared" si="4"/>
        <v>-1.543965328937702E-2</v>
      </c>
      <c r="J21" s="54">
        <f t="shared" si="5"/>
        <v>1.543965328937702E-2</v>
      </c>
      <c r="K21" s="18">
        <v>14</v>
      </c>
      <c r="L21" s="18">
        <f t="shared" si="6"/>
        <v>5.8225490400034009E-5</v>
      </c>
      <c r="N21" t="s">
        <v>46</v>
      </c>
      <c r="O21">
        <v>-8.9372751790220292E-2</v>
      </c>
      <c r="R21" s="68" t="s">
        <v>47</v>
      </c>
      <c r="S21" s="69">
        <v>13.52337849455226</v>
      </c>
    </row>
    <row r="22" spans="1:26" ht="15" thickBot="1">
      <c r="A22" s="18" t="s">
        <v>48</v>
      </c>
      <c r="B22" s="53">
        <v>184.11</v>
      </c>
      <c r="C22" s="18">
        <v>18</v>
      </c>
      <c r="D22" s="18">
        <f t="shared" si="0"/>
        <v>324</v>
      </c>
      <c r="E22" s="53">
        <f t="shared" si="1"/>
        <v>190.2566390000967</v>
      </c>
      <c r="F22" s="54">
        <f t="shared" si="2"/>
        <v>5.9353075355011464</v>
      </c>
      <c r="G22" s="54">
        <f>$O$18</f>
        <v>-15.674954492721438</v>
      </c>
      <c r="H22" s="53">
        <f t="shared" si="3"/>
        <v>180.51699204287641</v>
      </c>
      <c r="I22" s="54">
        <f t="shared" si="4"/>
        <v>3.5930079571236035</v>
      </c>
      <c r="J22" s="54">
        <f t="shared" si="5"/>
        <v>3.5930079571236035</v>
      </c>
      <c r="K22" s="18">
        <v>15</v>
      </c>
      <c r="L22" s="18">
        <f t="shared" si="6"/>
        <v>1.9515550253237757E-2</v>
      </c>
      <c r="N22" t="s">
        <v>49</v>
      </c>
      <c r="O22">
        <v>-13.564530817770668</v>
      </c>
      <c r="R22" s="48" t="s">
        <v>50</v>
      </c>
      <c r="S22" s="48">
        <v>84</v>
      </c>
    </row>
    <row r="23" spans="1:26">
      <c r="A23" s="18" t="s">
        <v>51</v>
      </c>
      <c r="B23" s="53">
        <v>188.35</v>
      </c>
      <c r="C23" s="18">
        <v>15.7</v>
      </c>
      <c r="D23" s="18">
        <f t="shared" si="0"/>
        <v>246.48999999999998</v>
      </c>
      <c r="E23" s="53">
        <f t="shared" si="1"/>
        <v>191.79706350117812</v>
      </c>
      <c r="F23" s="54">
        <f t="shared" si="2"/>
        <v>6.3309947045345565</v>
      </c>
      <c r="G23" s="54">
        <f>$O$19</f>
        <v>-3.0721556374488395</v>
      </c>
      <c r="H23" s="53">
        <f t="shared" si="3"/>
        <v>195.05590256826383</v>
      </c>
      <c r="I23" s="54">
        <f t="shared" si="4"/>
        <v>-6.7059025682638378</v>
      </c>
      <c r="J23" s="54">
        <f t="shared" si="5"/>
        <v>6.7059025682638378</v>
      </c>
      <c r="K23" s="18">
        <v>16</v>
      </c>
      <c r="L23" s="18">
        <f t="shared" si="6"/>
        <v>3.5603411564979232E-2</v>
      </c>
      <c r="N23" t="s">
        <v>52</v>
      </c>
      <c r="O23">
        <v>-10.740128390834071</v>
      </c>
    </row>
    <row r="24" spans="1:26" ht="15" thickBot="1">
      <c r="A24" s="18" t="s">
        <v>53</v>
      </c>
      <c r="B24" s="53">
        <v>205.22</v>
      </c>
      <c r="C24" s="18">
        <v>13</v>
      </c>
      <c r="D24" s="18">
        <f t="shared" si="0"/>
        <v>169</v>
      </c>
      <c r="E24" s="53">
        <f t="shared" si="1"/>
        <v>209.65261268598113</v>
      </c>
      <c r="F24" s="54">
        <f t="shared" si="2"/>
        <v>6.7266818735679665</v>
      </c>
      <c r="G24" s="54">
        <f>$O$20</f>
        <v>-4.0964884967844144</v>
      </c>
      <c r="H24" s="53">
        <f t="shared" si="3"/>
        <v>212.28280606276468</v>
      </c>
      <c r="I24" s="54">
        <f t="shared" si="4"/>
        <v>-7.0628060627646789</v>
      </c>
      <c r="J24" s="54">
        <f t="shared" si="5"/>
        <v>7.0628060627646789</v>
      </c>
      <c r="K24" s="18">
        <v>17</v>
      </c>
      <c r="L24" s="18">
        <f t="shared" si="6"/>
        <v>3.4415778495101253E-2</v>
      </c>
      <c r="N24" t="s">
        <v>54</v>
      </c>
      <c r="O24">
        <v>19.240871130874236</v>
      </c>
      <c r="R24" t="s">
        <v>55</v>
      </c>
    </row>
    <row r="25" spans="1:26">
      <c r="A25" s="18" t="s">
        <v>56</v>
      </c>
      <c r="B25" s="53">
        <v>233.79</v>
      </c>
      <c r="C25" s="18">
        <v>10.9</v>
      </c>
      <c r="D25" s="18">
        <f t="shared" si="0"/>
        <v>118.81</v>
      </c>
      <c r="E25" s="53">
        <f t="shared" si="1"/>
        <v>235.5221898805716</v>
      </c>
      <c r="F25" s="54">
        <f t="shared" si="2"/>
        <v>7.1223690426013757</v>
      </c>
      <c r="G25" s="54">
        <f>$O$21</f>
        <v>-8.9372751790220292E-2</v>
      </c>
      <c r="H25" s="53">
        <f t="shared" si="3"/>
        <v>242.55518617138276</v>
      </c>
      <c r="I25" s="54">
        <f t="shared" si="4"/>
        <v>-8.7651861713827657</v>
      </c>
      <c r="J25" s="54">
        <f t="shared" si="5"/>
        <v>8.7651861713827657</v>
      </c>
      <c r="K25" s="18">
        <v>18</v>
      </c>
      <c r="L25" s="18">
        <f t="shared" si="6"/>
        <v>3.7491706965151486E-2</v>
      </c>
      <c r="N25" t="s">
        <v>57</v>
      </c>
      <c r="O25">
        <v>17.014535466086148</v>
      </c>
      <c r="R25" s="49"/>
      <c r="S25" s="49" t="s">
        <v>58</v>
      </c>
      <c r="T25" s="49" t="s">
        <v>59</v>
      </c>
      <c r="U25" s="49" t="s">
        <v>60</v>
      </c>
      <c r="V25" s="49" t="s">
        <v>61</v>
      </c>
      <c r="W25" s="49" t="s">
        <v>62</v>
      </c>
    </row>
    <row r="26" spans="1:26" ht="15" thickBot="1">
      <c r="A26" s="18" t="s">
        <v>63</v>
      </c>
      <c r="B26" s="53">
        <v>199.99</v>
      </c>
      <c r="C26" s="18">
        <v>13.1</v>
      </c>
      <c r="D26" s="18">
        <f t="shared" si="0"/>
        <v>171.60999999999999</v>
      </c>
      <c r="E26" s="53">
        <f t="shared" si="1"/>
        <v>208.68223838726047</v>
      </c>
      <c r="F26" s="54">
        <f t="shared" si="2"/>
        <v>7.5180562116347858</v>
      </c>
      <c r="G26" s="54">
        <f>$O$22</f>
        <v>-13.564530817770668</v>
      </c>
      <c r="H26" s="53">
        <f t="shared" si="3"/>
        <v>202.63576378112458</v>
      </c>
      <c r="I26" s="54">
        <f t="shared" si="4"/>
        <v>-2.6457637811245718</v>
      </c>
      <c r="J26" s="54">
        <f t="shared" si="5"/>
        <v>2.6457637811245718</v>
      </c>
      <c r="K26" s="18">
        <v>19</v>
      </c>
      <c r="L26" s="18">
        <f t="shared" si="6"/>
        <v>1.3229480379641841E-2</v>
      </c>
      <c r="N26" t="s">
        <v>64</v>
      </c>
      <c r="O26" s="48">
        <v>22.117012910551907</v>
      </c>
      <c r="R26" t="s">
        <v>65</v>
      </c>
      <c r="S26">
        <v>14</v>
      </c>
      <c r="T26">
        <v>116409.32042266069</v>
      </c>
      <c r="U26">
        <v>8314.9514587614776</v>
      </c>
      <c r="V26">
        <v>45.466268424997295</v>
      </c>
      <c r="W26">
        <v>3.3505141633778153E-29</v>
      </c>
    </row>
    <row r="27" spans="1:26">
      <c r="A27" s="18" t="s">
        <v>66</v>
      </c>
      <c r="B27" s="53">
        <v>194.21</v>
      </c>
      <c r="C27" s="18">
        <v>14.6</v>
      </c>
      <c r="D27" s="18">
        <f t="shared" si="0"/>
        <v>213.16</v>
      </c>
      <c r="E27" s="53">
        <f t="shared" si="1"/>
        <v>196.97946386564882</v>
      </c>
      <c r="F27" s="54">
        <f t="shared" si="2"/>
        <v>7.9137433806681958</v>
      </c>
      <c r="G27" s="54">
        <f>$O$23</f>
        <v>-10.740128390834071</v>
      </c>
      <c r="H27" s="53">
        <f t="shared" si="3"/>
        <v>194.15307885548296</v>
      </c>
      <c r="I27" s="54">
        <f t="shared" si="4"/>
        <v>5.6921144517048106E-2</v>
      </c>
      <c r="J27" s="54">
        <f t="shared" si="5"/>
        <v>5.6921144517048106E-2</v>
      </c>
      <c r="K27" s="18">
        <v>20</v>
      </c>
      <c r="L27" s="18">
        <f t="shared" si="6"/>
        <v>2.9309069830105611E-4</v>
      </c>
      <c r="R27" t="s">
        <v>67</v>
      </c>
      <c r="S27">
        <v>69</v>
      </c>
      <c r="T27">
        <v>12618.841847577381</v>
      </c>
      <c r="U27">
        <v>182.88176590691856</v>
      </c>
    </row>
    <row r="28" spans="1:26" ht="15" thickBot="1">
      <c r="A28" s="18" t="s">
        <v>68</v>
      </c>
      <c r="B28" s="53">
        <v>224.49</v>
      </c>
      <c r="C28" s="18">
        <v>17.2</v>
      </c>
      <c r="D28" s="18">
        <f t="shared" si="0"/>
        <v>295.83999999999997</v>
      </c>
      <c r="E28" s="53">
        <f t="shared" si="1"/>
        <v>189.36601884696069</v>
      </c>
      <c r="F28" s="54">
        <f t="shared" si="2"/>
        <v>8.3094305497016059</v>
      </c>
      <c r="G28" s="54">
        <f>$O$24</f>
        <v>19.240871130874236</v>
      </c>
      <c r="H28" s="53">
        <f t="shared" si="3"/>
        <v>216.91632052753653</v>
      </c>
      <c r="I28" s="54">
        <f t="shared" si="4"/>
        <v>7.5736794724634819</v>
      </c>
      <c r="J28" s="54">
        <f t="shared" si="5"/>
        <v>7.5736794724634819</v>
      </c>
      <c r="K28" s="18">
        <v>21</v>
      </c>
      <c r="L28" s="18">
        <f t="shared" si="6"/>
        <v>3.3737268798002054E-2</v>
      </c>
      <c r="R28" s="48" t="s">
        <v>69</v>
      </c>
      <c r="S28" s="48">
        <v>83</v>
      </c>
      <c r="T28" s="48">
        <v>129028.16227023807</v>
      </c>
      <c r="U28" s="48"/>
      <c r="V28" s="48"/>
      <c r="W28" s="48"/>
    </row>
    <row r="29" spans="1:26" ht="15" thickBot="1">
      <c r="A29" s="18" t="s">
        <v>70</v>
      </c>
      <c r="B29" s="53">
        <v>244.96</v>
      </c>
      <c r="C29" s="18">
        <v>21.9</v>
      </c>
      <c r="D29" s="18">
        <f t="shared" si="0"/>
        <v>479.60999999999996</v>
      </c>
      <c r="E29" s="53">
        <f t="shared" si="1"/>
        <v>216.3869774350112</v>
      </c>
      <c r="F29" s="54">
        <f t="shared" si="2"/>
        <v>8.7051177187350159</v>
      </c>
      <c r="G29" s="54">
        <f>$O$25</f>
        <v>17.014535466086148</v>
      </c>
      <c r="H29" s="53">
        <f t="shared" si="3"/>
        <v>242.10663061983237</v>
      </c>
      <c r="I29" s="54">
        <f t="shared" si="4"/>
        <v>2.853369380167635</v>
      </c>
      <c r="J29" s="54">
        <f t="shared" si="5"/>
        <v>2.853369380167635</v>
      </c>
      <c r="K29" s="18">
        <v>22</v>
      </c>
      <c r="L29" s="18">
        <f t="shared" si="6"/>
        <v>1.1648307397810398E-2</v>
      </c>
    </row>
    <row r="30" spans="1:26">
      <c r="A30" s="18" t="s">
        <v>71</v>
      </c>
      <c r="B30" s="53">
        <v>279.83999999999997</v>
      </c>
      <c r="C30" s="18">
        <v>23.5</v>
      </c>
      <c r="D30" s="18">
        <f t="shared" si="0"/>
        <v>552.25</v>
      </c>
      <c r="E30" s="53">
        <f t="shared" si="1"/>
        <v>237.56752946383108</v>
      </c>
      <c r="F30" s="54">
        <f t="shared" si="2"/>
        <v>9.1008048877684242</v>
      </c>
      <c r="G30" s="54">
        <f>$O$26</f>
        <v>22.117012910551907</v>
      </c>
      <c r="H30" s="53">
        <f t="shared" si="3"/>
        <v>268.78534726215139</v>
      </c>
      <c r="I30" s="54">
        <f t="shared" si="4"/>
        <v>11.054652737848585</v>
      </c>
      <c r="J30" s="54">
        <f t="shared" si="5"/>
        <v>11.054652737848585</v>
      </c>
      <c r="K30" s="18">
        <v>23</v>
      </c>
      <c r="L30" s="18">
        <f t="shared" si="6"/>
        <v>3.9503476050059272E-2</v>
      </c>
      <c r="R30" s="49"/>
      <c r="S30" s="49" t="s">
        <v>72</v>
      </c>
      <c r="T30" s="49" t="s">
        <v>47</v>
      </c>
      <c r="U30" s="49" t="s">
        <v>73</v>
      </c>
      <c r="V30" s="49" t="s">
        <v>74</v>
      </c>
      <c r="W30" s="49" t="s">
        <v>75</v>
      </c>
      <c r="X30" s="49" t="s">
        <v>76</v>
      </c>
      <c r="Y30" s="49" t="s">
        <v>77</v>
      </c>
      <c r="Z30" s="49" t="s">
        <v>78</v>
      </c>
    </row>
    <row r="31" spans="1:26">
      <c r="A31" s="18" t="s">
        <v>79</v>
      </c>
      <c r="B31" s="53">
        <v>261.85000000000002</v>
      </c>
      <c r="C31" s="18">
        <v>25.5</v>
      </c>
      <c r="D31" s="18">
        <f t="shared" si="0"/>
        <v>650.25</v>
      </c>
      <c r="E31" s="53">
        <f t="shared" si="1"/>
        <v>272.60173937745083</v>
      </c>
      <c r="F31" s="54">
        <f t="shared" si="2"/>
        <v>9.4964920568018343</v>
      </c>
      <c r="G31" s="54">
        <f>$O$15</f>
        <v>0</v>
      </c>
      <c r="H31" s="53">
        <f t="shared" si="3"/>
        <v>282.09823143425268</v>
      </c>
      <c r="I31" s="54">
        <f t="shared" si="4"/>
        <v>-20.248231434252659</v>
      </c>
      <c r="J31" s="54">
        <f t="shared" si="5"/>
        <v>20.248231434252659</v>
      </c>
      <c r="K31" s="18">
        <v>24</v>
      </c>
      <c r="L31" s="18">
        <f t="shared" si="6"/>
        <v>7.7327597610283211E-2</v>
      </c>
      <c r="R31" t="s">
        <v>80</v>
      </c>
      <c r="S31">
        <v>538.23404029110816</v>
      </c>
      <c r="T31">
        <v>57.625666446370104</v>
      </c>
      <c r="U31">
        <v>9.3401790119342216</v>
      </c>
      <c r="V31">
        <v>7.1999665268076632E-14</v>
      </c>
      <c r="W31">
        <v>423.27398122142324</v>
      </c>
      <c r="X31">
        <v>653.19409936079307</v>
      </c>
      <c r="Y31">
        <v>423.27398122142324</v>
      </c>
      <c r="Z31">
        <v>653.19409936079307</v>
      </c>
    </row>
    <row r="32" spans="1:26">
      <c r="A32" s="18" t="s">
        <v>81</v>
      </c>
      <c r="B32" s="53">
        <v>211.49</v>
      </c>
      <c r="C32" s="18">
        <v>23.6</v>
      </c>
      <c r="D32" s="18">
        <f t="shared" si="0"/>
        <v>556.96</v>
      </c>
      <c r="E32" s="53">
        <f t="shared" si="1"/>
        <v>239.09339012940882</v>
      </c>
      <c r="F32" s="54">
        <f t="shared" si="2"/>
        <v>9.8921792258352443</v>
      </c>
      <c r="G32" s="54">
        <f>$O$16</f>
        <v>-13.718212838546778</v>
      </c>
      <c r="H32" s="53">
        <f t="shared" si="3"/>
        <v>235.26735651669728</v>
      </c>
      <c r="I32" s="54">
        <f t="shared" si="4"/>
        <v>-23.777356516697267</v>
      </c>
      <c r="J32" s="54">
        <f t="shared" si="5"/>
        <v>23.777356516697267</v>
      </c>
      <c r="K32" s="18">
        <v>25</v>
      </c>
      <c r="L32" s="18">
        <f t="shared" si="6"/>
        <v>0.11242780517611833</v>
      </c>
      <c r="R32" t="s">
        <v>11</v>
      </c>
      <c r="S32">
        <v>0.39568716903340978</v>
      </c>
      <c r="T32">
        <v>6.3083570569197001E-2</v>
      </c>
      <c r="U32">
        <v>6.2724282323140947</v>
      </c>
      <c r="V32">
        <v>2.6938403213748098E-8</v>
      </c>
      <c r="W32">
        <v>0.26983888915779647</v>
      </c>
      <c r="X32">
        <v>0.52153544890902315</v>
      </c>
      <c r="Y32">
        <v>0.26983888915779647</v>
      </c>
      <c r="Z32">
        <v>0.52153544890902315</v>
      </c>
    </row>
    <row r="33" spans="1:26">
      <c r="A33" s="18" t="s">
        <v>82</v>
      </c>
      <c r="B33" s="53">
        <v>223.69</v>
      </c>
      <c r="C33" s="18">
        <v>22.2</v>
      </c>
      <c r="D33" s="18">
        <f t="shared" si="0"/>
        <v>492.84</v>
      </c>
      <c r="E33" s="53">
        <f t="shared" si="1"/>
        <v>219.89474444704513</v>
      </c>
      <c r="F33" s="54">
        <f t="shared" si="2"/>
        <v>10.287866394868654</v>
      </c>
      <c r="G33" s="54">
        <f>$O$17</f>
        <v>7.4896918450310181</v>
      </c>
      <c r="H33" s="53">
        <f t="shared" si="3"/>
        <v>237.67230268694479</v>
      </c>
      <c r="I33" s="54">
        <f t="shared" si="4"/>
        <v>-13.982302686944792</v>
      </c>
      <c r="J33" s="54">
        <f t="shared" si="5"/>
        <v>13.982302686944792</v>
      </c>
      <c r="K33" s="18">
        <v>26</v>
      </c>
      <c r="L33" s="18">
        <f t="shared" si="6"/>
        <v>6.2507500053398862E-2</v>
      </c>
      <c r="R33" t="s">
        <v>3</v>
      </c>
      <c r="S33">
        <v>-40.728377543487355</v>
      </c>
      <c r="T33">
        <v>5.4322471737820361</v>
      </c>
      <c r="U33">
        <v>-7.4975192108446471</v>
      </c>
      <c r="V33">
        <v>1.6559412224705929E-10</v>
      </c>
      <c r="W33">
        <v>-51.565414136553066</v>
      </c>
      <c r="X33">
        <v>-29.891340950421643</v>
      </c>
      <c r="Y33">
        <v>-51.565414136553066</v>
      </c>
      <c r="Z33">
        <v>-29.891340950421643</v>
      </c>
    </row>
    <row r="34" spans="1:26">
      <c r="A34" s="18" t="s">
        <v>83</v>
      </c>
      <c r="B34" s="53">
        <v>194.39</v>
      </c>
      <c r="C34" s="18">
        <v>20.7</v>
      </c>
      <c r="D34" s="18">
        <f t="shared" si="0"/>
        <v>428.48999999999995</v>
      </c>
      <c r="E34" s="53">
        <f t="shared" si="1"/>
        <v>204.49553935627364</v>
      </c>
      <c r="F34" s="54">
        <f t="shared" si="2"/>
        <v>10.683553563902064</v>
      </c>
      <c r="G34" s="54">
        <f>$O$18</f>
        <v>-15.674954492721438</v>
      </c>
      <c r="H34" s="53">
        <f t="shared" si="3"/>
        <v>199.50413842745425</v>
      </c>
      <c r="I34" s="54">
        <f t="shared" si="4"/>
        <v>-5.1141384274542645</v>
      </c>
      <c r="J34" s="54">
        <f t="shared" si="5"/>
        <v>5.1141384274542645</v>
      </c>
      <c r="K34" s="18">
        <v>27</v>
      </c>
      <c r="L34" s="18">
        <f t="shared" si="6"/>
        <v>2.6308649763127037E-2</v>
      </c>
      <c r="R34" t="s">
        <v>4</v>
      </c>
      <c r="S34">
        <v>1.1886833163325954</v>
      </c>
      <c r="T34">
        <v>0.13513455435411223</v>
      </c>
      <c r="U34">
        <v>8.7962943453953315</v>
      </c>
      <c r="V34">
        <v>7.0110611497414629E-13</v>
      </c>
      <c r="W34">
        <v>0.9190972567012996</v>
      </c>
      <c r="X34">
        <v>1.4582693759638912</v>
      </c>
      <c r="Y34">
        <v>0.9190972567012996</v>
      </c>
      <c r="Z34">
        <v>1.4582693759638912</v>
      </c>
    </row>
    <row r="35" spans="1:26">
      <c r="A35" s="18" t="s">
        <v>84</v>
      </c>
      <c r="B35" s="53">
        <v>198.08</v>
      </c>
      <c r="C35" s="18">
        <v>14.3</v>
      </c>
      <c r="D35" s="18">
        <f t="shared" si="0"/>
        <v>204.49</v>
      </c>
      <c r="E35" s="53">
        <f t="shared" si="1"/>
        <v>198.89209277609135</v>
      </c>
      <c r="F35" s="54">
        <f t="shared" si="2"/>
        <v>11.079240732935475</v>
      </c>
      <c r="G35" s="54">
        <f>$O$19</f>
        <v>-3.0721556374488395</v>
      </c>
      <c r="H35" s="53">
        <f t="shared" si="3"/>
        <v>206.89917787157796</v>
      </c>
      <c r="I35" s="54">
        <f t="shared" si="4"/>
        <v>-8.8191778715779492</v>
      </c>
      <c r="J35" s="54">
        <f t="shared" si="5"/>
        <v>8.8191778715779492</v>
      </c>
      <c r="K35" s="18">
        <v>28</v>
      </c>
      <c r="L35" s="18">
        <f t="shared" si="6"/>
        <v>4.4523313164266706E-2</v>
      </c>
      <c r="R35" t="s">
        <v>32</v>
      </c>
      <c r="S35">
        <v>-13.718212838546778</v>
      </c>
      <c r="T35">
        <v>7.4542212334877567</v>
      </c>
      <c r="U35">
        <v>-1.8403281052242344</v>
      </c>
      <c r="V35">
        <v>7.002065294473396E-2</v>
      </c>
      <c r="W35">
        <v>-28.588977311488179</v>
      </c>
      <c r="X35">
        <v>1.1525516343946247</v>
      </c>
      <c r="Y35">
        <v>-28.588977311488179</v>
      </c>
      <c r="Z35">
        <v>1.1525516343946247</v>
      </c>
    </row>
    <row r="36" spans="1:26">
      <c r="A36" s="18" t="s">
        <v>85</v>
      </c>
      <c r="B36" s="53">
        <v>232.77</v>
      </c>
      <c r="C36" s="18">
        <v>11.9</v>
      </c>
      <c r="D36" s="18">
        <f t="shared" si="0"/>
        <v>141.61000000000001</v>
      </c>
      <c r="E36" s="53">
        <f t="shared" si="1"/>
        <v>221.89579194946745</v>
      </c>
      <c r="F36" s="54">
        <f t="shared" si="2"/>
        <v>11.474927901968883</v>
      </c>
      <c r="G36" s="54">
        <f>$O$20</f>
        <v>-4.0964884967844144</v>
      </c>
      <c r="H36" s="53">
        <f t="shared" si="3"/>
        <v>229.2742313546519</v>
      </c>
      <c r="I36" s="54">
        <f t="shared" si="4"/>
        <v>3.4957686453481074</v>
      </c>
      <c r="J36" s="54">
        <f t="shared" si="5"/>
        <v>3.4957686453481074</v>
      </c>
      <c r="K36" s="18">
        <v>29</v>
      </c>
      <c r="L36" s="18">
        <f t="shared" si="6"/>
        <v>1.5018123664338648E-2</v>
      </c>
      <c r="R36" t="s">
        <v>34</v>
      </c>
      <c r="S36">
        <v>7.4896918450310181</v>
      </c>
      <c r="T36">
        <v>8.6324258242870151</v>
      </c>
      <c r="U36">
        <v>0.86762307577078079</v>
      </c>
      <c r="V36">
        <v>0.38860818898791727</v>
      </c>
      <c r="W36">
        <v>-9.7315264743836636</v>
      </c>
      <c r="X36">
        <v>24.7109101644457</v>
      </c>
      <c r="Y36">
        <v>-9.7315264743836636</v>
      </c>
      <c r="Z36">
        <v>24.7109101644457</v>
      </c>
    </row>
    <row r="37" spans="1:26">
      <c r="A37" s="18" t="s">
        <v>86</v>
      </c>
      <c r="B37" s="53">
        <v>227.66</v>
      </c>
      <c r="C37" s="18">
        <v>12.2</v>
      </c>
      <c r="D37" s="18">
        <f t="shared" si="0"/>
        <v>148.83999999999997</v>
      </c>
      <c r="E37" s="53">
        <f t="shared" si="1"/>
        <v>218.27145906350594</v>
      </c>
      <c r="F37" s="54">
        <f t="shared" si="2"/>
        <v>11.870615071002293</v>
      </c>
      <c r="G37" s="54">
        <f>$O$21</f>
        <v>-8.9372751790220292E-2</v>
      </c>
      <c r="H37" s="53">
        <f t="shared" si="3"/>
        <v>230.05270138271803</v>
      </c>
      <c r="I37" s="54">
        <f t="shared" si="4"/>
        <v>-2.3927013827180303</v>
      </c>
      <c r="J37" s="54">
        <f t="shared" si="5"/>
        <v>2.3927013827180303</v>
      </c>
      <c r="K37" s="18">
        <v>30</v>
      </c>
      <c r="L37" s="18">
        <f t="shared" si="6"/>
        <v>1.0509977083009886E-2</v>
      </c>
      <c r="R37" t="s">
        <v>37</v>
      </c>
      <c r="S37">
        <v>-15.674954492721438</v>
      </c>
      <c r="T37">
        <v>12.911045179856805</v>
      </c>
      <c r="U37">
        <v>-1.214073243053688</v>
      </c>
      <c r="V37">
        <v>0.22885882671299645</v>
      </c>
      <c r="W37">
        <v>-41.431784878519146</v>
      </c>
      <c r="X37">
        <v>10.081875893076267</v>
      </c>
      <c r="Y37">
        <v>-41.431784878519146</v>
      </c>
      <c r="Z37">
        <v>10.081875893076267</v>
      </c>
    </row>
    <row r="38" spans="1:26">
      <c r="A38" s="18" t="s">
        <v>87</v>
      </c>
      <c r="B38" s="53">
        <v>210.21</v>
      </c>
      <c r="C38" s="18">
        <v>13.2</v>
      </c>
      <c r="D38" s="18">
        <f t="shared" si="0"/>
        <v>174.23999999999998</v>
      </c>
      <c r="E38" s="53">
        <f t="shared" si="1"/>
        <v>207.73563775486647</v>
      </c>
      <c r="F38" s="54">
        <f t="shared" si="2"/>
        <v>12.266302240035703</v>
      </c>
      <c r="G38" s="54">
        <f>$O$22</f>
        <v>-13.564530817770668</v>
      </c>
      <c r="H38" s="53">
        <f t="shared" si="3"/>
        <v>206.43740917713151</v>
      </c>
      <c r="I38" s="54">
        <f t="shared" si="4"/>
        <v>3.7725908228684943</v>
      </c>
      <c r="J38" s="54">
        <f t="shared" si="5"/>
        <v>3.7725908228684943</v>
      </c>
      <c r="K38" s="18">
        <v>31</v>
      </c>
      <c r="L38" s="18">
        <f t="shared" si="6"/>
        <v>1.7946771432702985E-2</v>
      </c>
      <c r="R38" t="s">
        <v>40</v>
      </c>
      <c r="S38">
        <v>-3.0721556374488395</v>
      </c>
      <c r="T38">
        <v>16.350926168080719</v>
      </c>
      <c r="U38">
        <v>-0.1878887841501061</v>
      </c>
      <c r="V38">
        <v>0.85151529228661749</v>
      </c>
      <c r="W38">
        <v>-35.691360829218389</v>
      </c>
      <c r="X38">
        <v>29.547049554320711</v>
      </c>
      <c r="Y38">
        <v>-35.691360829218389</v>
      </c>
      <c r="Z38">
        <v>29.547049554320711</v>
      </c>
    </row>
    <row r="39" spans="1:26">
      <c r="A39" s="18" t="s">
        <v>88</v>
      </c>
      <c r="B39" s="53">
        <v>193.99</v>
      </c>
      <c r="C39" s="18">
        <v>16</v>
      </c>
      <c r="D39" s="18">
        <f t="shared" ref="D39:D70" si="7">POWER(C39,2)</f>
        <v>256</v>
      </c>
      <c r="E39" s="53">
        <f t="shared" ref="E39:E70" si="8">$O$8+($O$9*C39)+($O$10*D39)</f>
        <v>190.8829285764549</v>
      </c>
      <c r="F39" s="54">
        <f t="shared" ref="F39:F70" si="9">$O$11*K39</f>
        <v>12.661989409069113</v>
      </c>
      <c r="G39" s="54">
        <f>$O$23</f>
        <v>-10.740128390834071</v>
      </c>
      <c r="H39" s="53">
        <f t="shared" ref="H39:H70" si="10">E39+F39+G39</f>
        <v>192.80478959468996</v>
      </c>
      <c r="I39" s="54">
        <f t="shared" ref="I39:I70" si="11">B39-H39</f>
        <v>1.1852104053100447</v>
      </c>
      <c r="J39" s="54">
        <f t="shared" ref="J39:J70" si="12">ABS(I39)</f>
        <v>1.1852104053100447</v>
      </c>
      <c r="K39" s="18">
        <v>32</v>
      </c>
      <c r="L39" s="18">
        <f t="shared" ref="L39:L70" si="13">J39/B39</f>
        <v>6.109646916387673E-3</v>
      </c>
      <c r="R39" t="s">
        <v>43</v>
      </c>
      <c r="S39">
        <v>-4.0964884967844144</v>
      </c>
      <c r="T39">
        <v>18.99883189029228</v>
      </c>
      <c r="U39">
        <v>-0.2156179137980358</v>
      </c>
      <c r="V39">
        <v>0.829921694415231</v>
      </c>
      <c r="W39">
        <v>-41.998121068716138</v>
      </c>
      <c r="X39">
        <v>33.805144075147304</v>
      </c>
      <c r="Y39">
        <v>-41.998121068716138</v>
      </c>
      <c r="Z39">
        <v>33.805144075147304</v>
      </c>
    </row>
    <row r="40" spans="1:26">
      <c r="A40" s="18" t="s">
        <v>89</v>
      </c>
      <c r="B40" s="53">
        <v>234.73</v>
      </c>
      <c r="C40" s="18">
        <v>18.8</v>
      </c>
      <c r="D40" s="18">
        <f t="shared" si="7"/>
        <v>353.44000000000005</v>
      </c>
      <c r="E40" s="53">
        <f t="shared" si="8"/>
        <v>192.66877379813849</v>
      </c>
      <c r="F40" s="54">
        <f t="shared" si="9"/>
        <v>13.057676578102523</v>
      </c>
      <c r="G40" s="54">
        <f>$O$24</f>
        <v>19.240871130874236</v>
      </c>
      <c r="H40" s="53">
        <f t="shared" si="10"/>
        <v>224.96732150711526</v>
      </c>
      <c r="I40" s="54">
        <f t="shared" si="11"/>
        <v>9.7626784928847314</v>
      </c>
      <c r="J40" s="54">
        <f t="shared" si="12"/>
        <v>9.7626784928847314</v>
      </c>
      <c r="K40" s="18">
        <v>33</v>
      </c>
      <c r="L40" s="18">
        <f t="shared" si="13"/>
        <v>4.159109825282125E-2</v>
      </c>
      <c r="R40" t="s">
        <v>46</v>
      </c>
      <c r="S40">
        <v>-8.9372751790220292E-2</v>
      </c>
      <c r="T40">
        <v>20.189031036026879</v>
      </c>
      <c r="U40">
        <v>-4.4267974837790183E-3</v>
      </c>
      <c r="V40">
        <v>0.99648071206013356</v>
      </c>
      <c r="W40">
        <v>-40.36538765256973</v>
      </c>
      <c r="X40">
        <v>40.186642148989286</v>
      </c>
      <c r="Y40">
        <v>-40.36538765256973</v>
      </c>
      <c r="Z40">
        <v>40.186642148989286</v>
      </c>
    </row>
    <row r="41" spans="1:26">
      <c r="A41" s="18" t="s">
        <v>90</v>
      </c>
      <c r="B41" s="53">
        <v>231.8</v>
      </c>
      <c r="C41" s="18">
        <v>21.6</v>
      </c>
      <c r="D41" s="18">
        <f t="shared" si="7"/>
        <v>466.56000000000006</v>
      </c>
      <c r="E41" s="53">
        <f t="shared" si="8"/>
        <v>213.09317341991709</v>
      </c>
      <c r="F41" s="54">
        <f t="shared" si="9"/>
        <v>13.453363747135933</v>
      </c>
      <c r="G41" s="54">
        <f>$O$25</f>
        <v>17.014535466086148</v>
      </c>
      <c r="H41" s="53">
        <f t="shared" si="10"/>
        <v>243.56107263313919</v>
      </c>
      <c r="I41" s="54">
        <f t="shared" si="11"/>
        <v>-11.761072633139179</v>
      </c>
      <c r="J41" s="54">
        <f t="shared" si="12"/>
        <v>11.761072633139179</v>
      </c>
      <c r="K41" s="18">
        <v>34</v>
      </c>
      <c r="L41" s="18">
        <f t="shared" si="13"/>
        <v>5.073801826203269E-2</v>
      </c>
      <c r="R41" t="s">
        <v>49</v>
      </c>
      <c r="S41">
        <v>-13.564530817770668</v>
      </c>
      <c r="T41">
        <v>18.320617470184668</v>
      </c>
      <c r="U41">
        <v>-0.74039703300643944</v>
      </c>
      <c r="V41">
        <v>0.46157115933146087</v>
      </c>
      <c r="W41">
        <v>-50.113162641849094</v>
      </c>
      <c r="X41">
        <v>22.98410100630776</v>
      </c>
      <c r="Y41">
        <v>-50.113162641849094</v>
      </c>
      <c r="Z41">
        <v>22.98410100630776</v>
      </c>
    </row>
    <row r="42" spans="1:26">
      <c r="A42" s="18" t="s">
        <v>91</v>
      </c>
      <c r="B42" s="53">
        <v>288.91000000000003</v>
      </c>
      <c r="C42" s="18">
        <v>25</v>
      </c>
      <c r="D42" s="18">
        <f t="shared" si="7"/>
        <v>625</v>
      </c>
      <c r="E42" s="53">
        <f t="shared" si="8"/>
        <v>262.95167441179638</v>
      </c>
      <c r="F42" s="54">
        <f t="shared" si="9"/>
        <v>13.849050916169343</v>
      </c>
      <c r="G42" s="54">
        <f>$O$26</f>
        <v>22.117012910551907</v>
      </c>
      <c r="H42" s="53">
        <f t="shared" si="10"/>
        <v>298.91773823851764</v>
      </c>
      <c r="I42" s="54">
        <f t="shared" si="11"/>
        <v>-10.007738238517618</v>
      </c>
      <c r="J42" s="54">
        <f t="shared" si="12"/>
        <v>10.007738238517618</v>
      </c>
      <c r="K42" s="18">
        <v>35</v>
      </c>
      <c r="L42" s="18">
        <f t="shared" si="13"/>
        <v>3.4639639467369136E-2</v>
      </c>
      <c r="R42" t="s">
        <v>52</v>
      </c>
      <c r="S42">
        <v>-10.740128390834071</v>
      </c>
      <c r="T42">
        <v>15.906545149563962</v>
      </c>
      <c r="U42">
        <v>-0.6752018298032797</v>
      </c>
      <c r="V42">
        <v>0.50180399468559278</v>
      </c>
      <c r="W42">
        <v>-42.472817707152934</v>
      </c>
      <c r="X42">
        <v>20.992560925484796</v>
      </c>
      <c r="Y42">
        <v>-42.472817707152934</v>
      </c>
      <c r="Z42">
        <v>20.992560925484796</v>
      </c>
    </row>
    <row r="43" spans="1:26">
      <c r="A43" s="18" t="s">
        <v>92</v>
      </c>
      <c r="B43" s="53">
        <v>317.12</v>
      </c>
      <c r="C43" s="18">
        <v>26.2</v>
      </c>
      <c r="D43" s="18">
        <f t="shared" si="7"/>
        <v>686.43999999999994</v>
      </c>
      <c r="E43" s="53">
        <f t="shared" si="8"/>
        <v>287.11032431508613</v>
      </c>
      <c r="F43" s="54">
        <f t="shared" si="9"/>
        <v>14.244738085202751</v>
      </c>
      <c r="G43" s="54">
        <f>$O$15</f>
        <v>0</v>
      </c>
      <c r="H43" s="53">
        <f t="shared" si="10"/>
        <v>301.35506240028889</v>
      </c>
      <c r="I43" s="54">
        <f t="shared" si="11"/>
        <v>15.764937599711118</v>
      </c>
      <c r="J43" s="54">
        <f t="shared" si="12"/>
        <v>15.764937599711118</v>
      </c>
      <c r="K43" s="18">
        <v>36</v>
      </c>
      <c r="L43" s="18">
        <f t="shared" si="13"/>
        <v>4.9712845609583493E-2</v>
      </c>
      <c r="R43" t="s">
        <v>54</v>
      </c>
      <c r="S43">
        <v>19.240871130874236</v>
      </c>
      <c r="T43">
        <v>13.331392473963636</v>
      </c>
      <c r="U43">
        <v>1.4432754244128572</v>
      </c>
      <c r="V43">
        <v>0.15346771637905651</v>
      </c>
      <c r="W43">
        <v>-7.3545291620546251</v>
      </c>
      <c r="X43">
        <v>45.836271423803097</v>
      </c>
      <c r="Y43">
        <v>-7.3545291620546251</v>
      </c>
      <c r="Z43">
        <v>45.836271423803097</v>
      </c>
    </row>
    <row r="44" spans="1:26">
      <c r="A44" s="18" t="s">
        <v>93</v>
      </c>
      <c r="B44" s="53">
        <v>234.96</v>
      </c>
      <c r="C44" s="18">
        <v>23.2</v>
      </c>
      <c r="D44" s="18">
        <f t="shared" si="7"/>
        <v>538.24</v>
      </c>
      <c r="E44" s="53">
        <f t="shared" si="8"/>
        <v>233.13258946505766</v>
      </c>
      <c r="F44" s="54">
        <f t="shared" si="9"/>
        <v>14.640425254236161</v>
      </c>
      <c r="G44" s="54">
        <f>$O$16</f>
        <v>-13.718212838546778</v>
      </c>
      <c r="H44" s="53">
        <f t="shared" si="10"/>
        <v>234.05480188074705</v>
      </c>
      <c r="I44" s="54">
        <f t="shared" si="11"/>
        <v>0.90519811925295812</v>
      </c>
      <c r="J44" s="54">
        <f t="shared" si="12"/>
        <v>0.90519811925295812</v>
      </c>
      <c r="K44" s="18">
        <v>37</v>
      </c>
      <c r="L44" s="18">
        <f t="shared" si="13"/>
        <v>3.8525626457820822E-3</v>
      </c>
      <c r="R44" t="s">
        <v>57</v>
      </c>
      <c r="S44">
        <v>17.014535466086148</v>
      </c>
      <c r="T44">
        <v>10.166381410732679</v>
      </c>
      <c r="U44">
        <v>1.673607823539244</v>
      </c>
      <c r="V44">
        <v>9.8735638479165028E-2</v>
      </c>
      <c r="W44">
        <v>-3.2668405174864397</v>
      </c>
      <c r="X44">
        <v>37.295911449658732</v>
      </c>
      <c r="Y44">
        <v>-3.2668405174864397</v>
      </c>
      <c r="Z44">
        <v>37.295911449658732</v>
      </c>
    </row>
    <row r="45" spans="1:26" ht="15" thickBot="1">
      <c r="A45" s="18" t="s">
        <v>94</v>
      </c>
      <c r="B45" s="53">
        <v>220.59</v>
      </c>
      <c r="C45" s="18">
        <v>20.8</v>
      </c>
      <c r="D45" s="18">
        <f t="shared" si="7"/>
        <v>432.64000000000004</v>
      </c>
      <c r="E45" s="53">
        <f t="shared" si="8"/>
        <v>205.35573736470531</v>
      </c>
      <c r="F45" s="54">
        <f t="shared" si="9"/>
        <v>15.036112423269572</v>
      </c>
      <c r="G45" s="54">
        <f>$O$17</f>
        <v>7.4896918450310181</v>
      </c>
      <c r="H45" s="53">
        <f t="shared" si="10"/>
        <v>227.8815416330059</v>
      </c>
      <c r="I45" s="54">
        <f t="shared" si="11"/>
        <v>-7.2915416330058918</v>
      </c>
      <c r="J45" s="54">
        <f t="shared" si="12"/>
        <v>7.2915416330058918</v>
      </c>
      <c r="K45" s="18">
        <v>38</v>
      </c>
      <c r="L45" s="18">
        <f t="shared" si="13"/>
        <v>3.305472429849899E-2</v>
      </c>
      <c r="R45" s="48" t="s">
        <v>64</v>
      </c>
      <c r="S45" s="48">
        <v>22.117012910551907</v>
      </c>
      <c r="T45" s="48">
        <v>8.0782808938604376</v>
      </c>
      <c r="U45" s="48">
        <v>2.7378365770074948</v>
      </c>
      <c r="V45" s="48">
        <v>7.8606729706084191E-3</v>
      </c>
      <c r="W45" s="48">
        <v>6.0012834793966441</v>
      </c>
      <c r="X45" s="48">
        <v>38.232742341707166</v>
      </c>
      <c r="Y45" s="48">
        <v>6.0012834793966441</v>
      </c>
      <c r="Z45" s="48">
        <v>38.232742341707166</v>
      </c>
    </row>
    <row r="46" spans="1:26">
      <c r="A46" s="18" t="s">
        <v>95</v>
      </c>
      <c r="B46" s="53">
        <v>192.5</v>
      </c>
      <c r="C46" s="18">
        <v>18</v>
      </c>
      <c r="D46" s="18">
        <f t="shared" si="7"/>
        <v>324</v>
      </c>
      <c r="E46" s="53">
        <f t="shared" si="8"/>
        <v>190.2566390000967</v>
      </c>
      <c r="F46" s="54">
        <f t="shared" si="9"/>
        <v>15.431799592302982</v>
      </c>
      <c r="G46" s="54">
        <f>$O$18</f>
        <v>-15.674954492721438</v>
      </c>
      <c r="H46" s="53">
        <f t="shared" si="10"/>
        <v>190.01348409967824</v>
      </c>
      <c r="I46" s="54">
        <f t="shared" si="11"/>
        <v>2.4865159003217627</v>
      </c>
      <c r="J46" s="54">
        <f t="shared" si="12"/>
        <v>2.4865159003217627</v>
      </c>
      <c r="K46" s="18">
        <v>39</v>
      </c>
      <c r="L46" s="18">
        <f t="shared" si="13"/>
        <v>1.2916965715957209E-2</v>
      </c>
    </row>
    <row r="47" spans="1:26">
      <c r="A47" s="18" t="s">
        <v>96</v>
      </c>
      <c r="B47" s="53">
        <v>213.56</v>
      </c>
      <c r="C47" s="18">
        <v>13.8</v>
      </c>
      <c r="D47" s="18">
        <f t="shared" si="7"/>
        <v>190.44000000000003</v>
      </c>
      <c r="E47" s="53">
        <f t="shared" si="8"/>
        <v>202.55528095336209</v>
      </c>
      <c r="F47" s="54">
        <f t="shared" si="9"/>
        <v>15.827486761336392</v>
      </c>
      <c r="G47" s="54">
        <f>$O$19</f>
        <v>-3.0721556374488395</v>
      </c>
      <c r="H47" s="53">
        <f t="shared" si="10"/>
        <v>215.31061207724963</v>
      </c>
      <c r="I47" s="54">
        <f t="shared" si="11"/>
        <v>-1.7506120772496274</v>
      </c>
      <c r="J47" s="54">
        <f t="shared" si="12"/>
        <v>1.7506120772496274</v>
      </c>
      <c r="K47" s="18">
        <v>40</v>
      </c>
      <c r="L47" s="18">
        <f t="shared" si="13"/>
        <v>8.1972844973292169E-3</v>
      </c>
    </row>
    <row r="48" spans="1:26">
      <c r="A48" s="18" t="s">
        <v>97</v>
      </c>
      <c r="B48" s="53">
        <v>252.91</v>
      </c>
      <c r="C48" s="18">
        <v>10.8</v>
      </c>
      <c r="D48" s="18">
        <f t="shared" si="7"/>
        <v>116.64000000000001</v>
      </c>
      <c r="E48" s="53">
        <f t="shared" si="8"/>
        <v>237.01558483847867</v>
      </c>
      <c r="F48" s="54">
        <f t="shared" si="9"/>
        <v>16.2231739303698</v>
      </c>
      <c r="G48" s="54">
        <f>$O$20</f>
        <v>-4.0964884967844144</v>
      </c>
      <c r="H48" s="53">
        <f t="shared" si="10"/>
        <v>249.14227027206405</v>
      </c>
      <c r="I48" s="54">
        <f t="shared" si="11"/>
        <v>3.7677297279359436</v>
      </c>
      <c r="J48" s="54">
        <f t="shared" si="12"/>
        <v>3.7677297279359436</v>
      </c>
      <c r="K48" s="18">
        <v>41</v>
      </c>
      <c r="L48" s="18">
        <f t="shared" si="13"/>
        <v>1.4897511873535817E-2</v>
      </c>
    </row>
    <row r="49" spans="1:12">
      <c r="A49" s="18" t="s">
        <v>98</v>
      </c>
      <c r="B49" s="53">
        <v>233.81</v>
      </c>
      <c r="C49" s="18">
        <v>12.6</v>
      </c>
      <c r="D49" s="18">
        <f t="shared" si="7"/>
        <v>158.76</v>
      </c>
      <c r="E49" s="53">
        <f t="shared" si="8"/>
        <v>213.77184654413028</v>
      </c>
      <c r="F49" s="54">
        <f t="shared" si="9"/>
        <v>16.618861099403212</v>
      </c>
      <c r="G49" s="54">
        <f>$O$21</f>
        <v>-8.9372751790220292E-2</v>
      </c>
      <c r="H49" s="53">
        <f t="shared" si="10"/>
        <v>230.30133489174327</v>
      </c>
      <c r="I49" s="54">
        <f t="shared" si="11"/>
        <v>3.5086651082567357</v>
      </c>
      <c r="J49" s="54">
        <f t="shared" si="12"/>
        <v>3.5086651082567357</v>
      </c>
      <c r="K49" s="18">
        <v>42</v>
      </c>
      <c r="L49" s="18">
        <f t="shared" si="13"/>
        <v>1.5006480083216011E-2</v>
      </c>
    </row>
    <row r="50" spans="1:12">
      <c r="A50" s="18" t="s">
        <v>99</v>
      </c>
      <c r="B50" s="53">
        <v>210.66</v>
      </c>
      <c r="C50" s="18">
        <v>13.7</v>
      </c>
      <c r="D50" s="18">
        <f t="shared" si="7"/>
        <v>187.68999999999997</v>
      </c>
      <c r="E50" s="53">
        <f t="shared" si="8"/>
        <v>203.3592395877962</v>
      </c>
      <c r="F50" s="54">
        <f t="shared" si="9"/>
        <v>17.01454826843662</v>
      </c>
      <c r="G50" s="54">
        <f>$O$22</f>
        <v>-13.564530817770668</v>
      </c>
      <c r="H50" s="53">
        <f t="shared" si="10"/>
        <v>206.80925703846214</v>
      </c>
      <c r="I50" s="54">
        <f t="shared" si="11"/>
        <v>3.8507429615378612</v>
      </c>
      <c r="J50" s="54">
        <f t="shared" si="12"/>
        <v>3.8507429615378612</v>
      </c>
      <c r="K50" s="18">
        <v>43</v>
      </c>
      <c r="L50" s="18">
        <f t="shared" si="13"/>
        <v>1.8279421634566893E-2</v>
      </c>
    </row>
    <row r="51" spans="1:12">
      <c r="A51" s="18" t="s">
        <v>100</v>
      </c>
      <c r="B51" s="53">
        <v>190.44</v>
      </c>
      <c r="C51" s="18">
        <v>15.8</v>
      </c>
      <c r="D51" s="18">
        <f t="shared" si="7"/>
        <v>249.64000000000001</v>
      </c>
      <c r="E51" s="53">
        <f t="shared" si="8"/>
        <v>191.46857819327704</v>
      </c>
      <c r="F51" s="54">
        <f t="shared" si="9"/>
        <v>17.410235437470032</v>
      </c>
      <c r="G51" s="54">
        <f>$O$23</f>
        <v>-10.740128390834071</v>
      </c>
      <c r="H51" s="53">
        <f t="shared" si="10"/>
        <v>198.138685239913</v>
      </c>
      <c r="I51" s="54">
        <f t="shared" si="11"/>
        <v>-7.6986852399130044</v>
      </c>
      <c r="J51" s="54">
        <f t="shared" si="12"/>
        <v>7.6986852399130044</v>
      </c>
      <c r="K51" s="18">
        <v>44</v>
      </c>
      <c r="L51" s="18">
        <f t="shared" si="13"/>
        <v>4.0425778407440688E-2</v>
      </c>
    </row>
    <row r="52" spans="1:12">
      <c r="A52" s="18" t="s">
        <v>101</v>
      </c>
      <c r="B52" s="53">
        <v>213.23</v>
      </c>
      <c r="C52" s="18">
        <v>18.100000000000001</v>
      </c>
      <c r="D52" s="18">
        <f t="shared" si="7"/>
        <v>327.61000000000007</v>
      </c>
      <c r="E52" s="53">
        <f t="shared" si="8"/>
        <v>190.47494801770864</v>
      </c>
      <c r="F52" s="54">
        <f t="shared" si="9"/>
        <v>17.80592260650344</v>
      </c>
      <c r="G52" s="54">
        <f>$O$24</f>
        <v>19.240871130874236</v>
      </c>
      <c r="H52" s="53">
        <f t="shared" si="10"/>
        <v>227.52174175508631</v>
      </c>
      <c r="I52" s="54">
        <f t="shared" si="11"/>
        <v>-14.291741755086321</v>
      </c>
      <c r="J52" s="54">
        <f t="shared" si="12"/>
        <v>14.291741755086321</v>
      </c>
      <c r="K52" s="18">
        <v>45</v>
      </c>
      <c r="L52" s="18">
        <f t="shared" si="13"/>
        <v>6.7025004713625297E-2</v>
      </c>
    </row>
    <row r="53" spans="1:12">
      <c r="A53" s="18" t="s">
        <v>102</v>
      </c>
      <c r="B53" s="53">
        <v>271.68</v>
      </c>
      <c r="C53" s="18">
        <v>23</v>
      </c>
      <c r="D53" s="18">
        <f t="shared" si="7"/>
        <v>529</v>
      </c>
      <c r="E53" s="53">
        <f t="shared" si="8"/>
        <v>230.294831130842</v>
      </c>
      <c r="F53" s="54">
        <f t="shared" si="9"/>
        <v>18.201609775536848</v>
      </c>
      <c r="G53" s="54">
        <f>$O$25</f>
        <v>17.014535466086148</v>
      </c>
      <c r="H53" s="53">
        <f t="shared" si="10"/>
        <v>265.510976372465</v>
      </c>
      <c r="I53" s="54">
        <f t="shared" si="11"/>
        <v>6.1690236275350117</v>
      </c>
      <c r="J53" s="54">
        <f t="shared" si="12"/>
        <v>6.1690236275350117</v>
      </c>
      <c r="K53" s="18">
        <v>46</v>
      </c>
      <c r="L53" s="18">
        <f t="shared" si="13"/>
        <v>2.2706947981209553E-2</v>
      </c>
    </row>
    <row r="54" spans="1:12">
      <c r="A54" s="18" t="s">
        <v>103</v>
      </c>
      <c r="B54" s="53">
        <v>304.97000000000003</v>
      </c>
      <c r="C54" s="18">
        <v>25</v>
      </c>
      <c r="D54" s="18">
        <f t="shared" si="7"/>
        <v>625</v>
      </c>
      <c r="E54" s="53">
        <f t="shared" si="8"/>
        <v>262.95167441179638</v>
      </c>
      <c r="F54" s="54">
        <f t="shared" si="9"/>
        <v>18.59729694457026</v>
      </c>
      <c r="G54" s="54">
        <f>$O$26</f>
        <v>22.117012910551907</v>
      </c>
      <c r="H54" s="53">
        <f t="shared" si="10"/>
        <v>303.66598426691854</v>
      </c>
      <c r="I54" s="54">
        <f t="shared" si="11"/>
        <v>1.304015733081485</v>
      </c>
      <c r="J54" s="54">
        <f t="shared" si="12"/>
        <v>1.304015733081485</v>
      </c>
      <c r="K54" s="18">
        <v>47</v>
      </c>
      <c r="L54" s="18">
        <f t="shared" si="13"/>
        <v>4.2758819984965238E-3</v>
      </c>
    </row>
    <row r="55" spans="1:12">
      <c r="A55" s="18" t="s">
        <v>104</v>
      </c>
      <c r="B55" s="53">
        <v>314.45999999999998</v>
      </c>
      <c r="C55" s="18">
        <v>26.9</v>
      </c>
      <c r="D55" s="18">
        <f t="shared" si="7"/>
        <v>723.6099999999999</v>
      </c>
      <c r="E55" s="53">
        <f t="shared" si="8"/>
        <v>302.78381890272772</v>
      </c>
      <c r="F55" s="54">
        <f t="shared" si="9"/>
        <v>18.992984113603669</v>
      </c>
      <c r="G55" s="54">
        <f>$O$15</f>
        <v>0</v>
      </c>
      <c r="H55" s="53">
        <f t="shared" si="10"/>
        <v>321.77680301633137</v>
      </c>
      <c r="I55" s="54">
        <f t="shared" si="11"/>
        <v>-7.3168030163313915</v>
      </c>
      <c r="J55" s="54">
        <f t="shared" si="12"/>
        <v>7.3168030163313915</v>
      </c>
      <c r="K55" s="18">
        <v>48</v>
      </c>
      <c r="L55" s="18">
        <f t="shared" si="13"/>
        <v>2.3267833798675162E-2</v>
      </c>
    </row>
    <row r="56" spans="1:12">
      <c r="A56" s="18" t="s">
        <v>105</v>
      </c>
      <c r="B56" s="53">
        <v>276.31</v>
      </c>
      <c r="C56" s="18">
        <v>25.6</v>
      </c>
      <c r="D56" s="18">
        <f t="shared" si="7"/>
        <v>655.36000000000013</v>
      </c>
      <c r="E56" s="53">
        <f t="shared" si="8"/>
        <v>274.6030733695618</v>
      </c>
      <c r="F56" s="54">
        <f t="shared" si="9"/>
        <v>19.38867128263708</v>
      </c>
      <c r="G56" s="54">
        <f>$O$16</f>
        <v>-13.718212838546778</v>
      </c>
      <c r="H56" s="53">
        <f t="shared" si="10"/>
        <v>280.27353181365208</v>
      </c>
      <c r="I56" s="54">
        <f t="shared" si="11"/>
        <v>-3.9635318136520823</v>
      </c>
      <c r="J56" s="54">
        <f t="shared" si="12"/>
        <v>3.9635318136520823</v>
      </c>
      <c r="K56" s="18">
        <v>49</v>
      </c>
      <c r="L56" s="18">
        <f t="shared" si="13"/>
        <v>1.4344510924874532E-2</v>
      </c>
    </row>
    <row r="57" spans="1:12">
      <c r="A57" s="18" t="s">
        <v>106</v>
      </c>
      <c r="B57" s="53">
        <v>345.2</v>
      </c>
      <c r="C57" s="18">
        <v>27.1</v>
      </c>
      <c r="D57" s="18">
        <f t="shared" si="7"/>
        <v>734.41000000000008</v>
      </c>
      <c r="E57" s="53">
        <f t="shared" si="8"/>
        <v>307.47592321042225</v>
      </c>
      <c r="F57" s="54">
        <f t="shared" si="9"/>
        <v>19.784358451670489</v>
      </c>
      <c r="G57" s="54">
        <f>$O$17</f>
        <v>7.4896918450310181</v>
      </c>
      <c r="H57" s="53">
        <f t="shared" si="10"/>
        <v>334.74997350712374</v>
      </c>
      <c r="I57" s="54">
        <f t="shared" si="11"/>
        <v>10.450026492876248</v>
      </c>
      <c r="J57" s="54">
        <f t="shared" si="12"/>
        <v>10.450026492876248</v>
      </c>
      <c r="K57" s="18">
        <v>50</v>
      </c>
      <c r="L57" s="18">
        <f t="shared" si="13"/>
        <v>3.0272382656072561E-2</v>
      </c>
    </row>
    <row r="58" spans="1:12">
      <c r="A58" s="18" t="s">
        <v>107</v>
      </c>
      <c r="B58" s="53">
        <v>199.79</v>
      </c>
      <c r="C58" s="18">
        <v>19.100000000000001</v>
      </c>
      <c r="D58" s="18">
        <f t="shared" si="7"/>
        <v>364.81000000000006</v>
      </c>
      <c r="E58" s="53">
        <f t="shared" si="8"/>
        <v>193.96558984179381</v>
      </c>
      <c r="F58" s="54">
        <f t="shared" si="9"/>
        <v>20.180045620703901</v>
      </c>
      <c r="G58" s="54">
        <f>$O$18</f>
        <v>-15.674954492721438</v>
      </c>
      <c r="H58" s="53">
        <f t="shared" si="10"/>
        <v>198.47068096977628</v>
      </c>
      <c r="I58" s="54">
        <f t="shared" si="11"/>
        <v>1.3193190302237099</v>
      </c>
      <c r="J58" s="54">
        <f t="shared" si="12"/>
        <v>1.3193190302237099</v>
      </c>
      <c r="K58" s="18">
        <v>51</v>
      </c>
      <c r="L58" s="18">
        <f t="shared" si="13"/>
        <v>6.6035288564177883E-3</v>
      </c>
    </row>
    <row r="59" spans="1:12">
      <c r="A59" s="18" t="s">
        <v>108</v>
      </c>
      <c r="B59" s="53">
        <v>202.94</v>
      </c>
      <c r="C59" s="18">
        <v>16.399999999999999</v>
      </c>
      <c r="D59" s="18">
        <f t="shared" si="7"/>
        <v>268.95999999999998</v>
      </c>
      <c r="E59" s="53">
        <f t="shared" si="8"/>
        <v>189.99691333873045</v>
      </c>
      <c r="F59" s="54">
        <f t="shared" si="9"/>
        <v>20.575732789737309</v>
      </c>
      <c r="G59" s="54">
        <f>$O$19</f>
        <v>-3.0721556374488395</v>
      </c>
      <c r="H59" s="53">
        <f t="shared" si="10"/>
        <v>207.50049049101892</v>
      </c>
      <c r="I59" s="54">
        <f t="shared" si="11"/>
        <v>-4.5604904910189248</v>
      </c>
      <c r="J59" s="54">
        <f t="shared" si="12"/>
        <v>4.5604904910189248</v>
      </c>
      <c r="K59" s="18">
        <v>52</v>
      </c>
      <c r="L59" s="18">
        <f t="shared" si="13"/>
        <v>2.2472112402773848E-2</v>
      </c>
    </row>
    <row r="60" spans="1:12">
      <c r="A60" s="18" t="s">
        <v>109</v>
      </c>
      <c r="B60" s="53">
        <v>225.29</v>
      </c>
      <c r="C60" s="18">
        <v>13.2</v>
      </c>
      <c r="D60" s="18">
        <f t="shared" si="7"/>
        <v>174.23999999999998</v>
      </c>
      <c r="E60" s="53">
        <f t="shared" si="8"/>
        <v>207.73563775486647</v>
      </c>
      <c r="F60" s="54">
        <f t="shared" si="9"/>
        <v>20.971419958770717</v>
      </c>
      <c r="G60" s="54">
        <f>$O$20</f>
        <v>-4.0964884967844144</v>
      </c>
      <c r="H60" s="53">
        <f t="shared" si="10"/>
        <v>224.61056921685278</v>
      </c>
      <c r="I60" s="54">
        <f t="shared" si="11"/>
        <v>0.67943078314721106</v>
      </c>
      <c r="J60" s="54">
        <f t="shared" si="12"/>
        <v>0.67943078314721106</v>
      </c>
      <c r="K60" s="18">
        <v>53</v>
      </c>
      <c r="L60" s="18">
        <f t="shared" si="13"/>
        <v>3.0158053315602605E-3</v>
      </c>
    </row>
    <row r="61" spans="1:12">
      <c r="A61" s="18" t="s">
        <v>110</v>
      </c>
      <c r="B61" s="53">
        <v>238.37</v>
      </c>
      <c r="C61" s="18">
        <v>13</v>
      </c>
      <c r="D61" s="18">
        <f t="shared" si="7"/>
        <v>169</v>
      </c>
      <c r="E61" s="53">
        <f t="shared" si="8"/>
        <v>209.65261268598113</v>
      </c>
      <c r="F61" s="54">
        <f t="shared" si="9"/>
        <v>21.367107127804129</v>
      </c>
      <c r="G61" s="54">
        <f>$O$21</f>
        <v>-8.9372751790220292E-2</v>
      </c>
      <c r="H61" s="53">
        <f t="shared" si="10"/>
        <v>230.93034706199504</v>
      </c>
      <c r="I61" s="54">
        <f t="shared" si="11"/>
        <v>7.4396529380049685</v>
      </c>
      <c r="J61" s="54">
        <f t="shared" si="12"/>
        <v>7.4396529380049685</v>
      </c>
      <c r="K61" s="18">
        <v>54</v>
      </c>
      <c r="L61" s="18">
        <f t="shared" si="13"/>
        <v>3.1210525393316979E-2</v>
      </c>
    </row>
    <row r="62" spans="1:12">
      <c r="A62" s="18" t="s">
        <v>111</v>
      </c>
      <c r="B62" s="53">
        <v>207.99</v>
      </c>
      <c r="C62" s="18">
        <v>14.2</v>
      </c>
      <c r="D62" s="18">
        <f t="shared" si="7"/>
        <v>201.64</v>
      </c>
      <c r="E62" s="53">
        <f t="shared" si="8"/>
        <v>199.57718307889226</v>
      </c>
      <c r="F62" s="54">
        <f t="shared" si="9"/>
        <v>21.762794296837537</v>
      </c>
      <c r="G62" s="54">
        <f>$O$22</f>
        <v>-13.564530817770668</v>
      </c>
      <c r="H62" s="53">
        <f t="shared" si="10"/>
        <v>207.77544655795913</v>
      </c>
      <c r="I62" s="54">
        <f t="shared" si="11"/>
        <v>0.21455344204088078</v>
      </c>
      <c r="J62" s="54">
        <f t="shared" si="12"/>
        <v>0.21455344204088078</v>
      </c>
      <c r="K62" s="18">
        <v>55</v>
      </c>
      <c r="L62" s="18">
        <f t="shared" si="13"/>
        <v>1.0315565269526457E-3</v>
      </c>
    </row>
    <row r="63" spans="1:12">
      <c r="A63" s="18" t="s">
        <v>112</v>
      </c>
      <c r="B63" s="53">
        <v>205.21</v>
      </c>
      <c r="C63" s="18">
        <v>15</v>
      </c>
      <c r="D63" s="18">
        <f t="shared" si="7"/>
        <v>225</v>
      </c>
      <c r="E63" s="53">
        <f t="shared" si="8"/>
        <v>194.76212331363178</v>
      </c>
      <c r="F63" s="54">
        <f t="shared" si="9"/>
        <v>22.158481465870949</v>
      </c>
      <c r="G63" s="54">
        <f>$O$23</f>
        <v>-10.740128390834071</v>
      </c>
      <c r="H63" s="53">
        <f t="shared" si="10"/>
        <v>206.18047638866867</v>
      </c>
      <c r="I63" s="54">
        <f t="shared" si="11"/>
        <v>-0.97047638866865782</v>
      </c>
      <c r="J63" s="54">
        <f t="shared" si="12"/>
        <v>0.97047638866865782</v>
      </c>
      <c r="K63" s="18">
        <v>56</v>
      </c>
      <c r="L63" s="18">
        <f t="shared" si="13"/>
        <v>4.7291866315903597E-3</v>
      </c>
    </row>
    <row r="64" spans="1:12">
      <c r="A64" s="18" t="s">
        <v>113</v>
      </c>
      <c r="B64" s="53">
        <v>225.92</v>
      </c>
      <c r="C64" s="18">
        <v>18.2</v>
      </c>
      <c r="D64" s="18">
        <f t="shared" si="7"/>
        <v>331.23999999999995</v>
      </c>
      <c r="E64" s="53">
        <f t="shared" si="8"/>
        <v>190.71703070164722</v>
      </c>
      <c r="F64" s="54">
        <f t="shared" si="9"/>
        <v>22.554168634904357</v>
      </c>
      <c r="G64" s="54">
        <f>$O$24</f>
        <v>19.240871130874236</v>
      </c>
      <c r="H64" s="53">
        <f t="shared" si="10"/>
        <v>232.51207046742581</v>
      </c>
      <c r="I64" s="54">
        <f t="shared" si="11"/>
        <v>-6.5920704674258275</v>
      </c>
      <c r="J64" s="54">
        <f t="shared" si="12"/>
        <v>6.5920704674258275</v>
      </c>
      <c r="K64" s="18">
        <v>57</v>
      </c>
      <c r="L64" s="18">
        <f t="shared" si="13"/>
        <v>2.9178782168138403E-2</v>
      </c>
    </row>
    <row r="65" spans="1:12">
      <c r="A65" s="18" t="s">
        <v>114</v>
      </c>
      <c r="B65" s="53">
        <v>267.3</v>
      </c>
      <c r="C65" s="18">
        <v>21.2</v>
      </c>
      <c r="D65" s="18">
        <f t="shared" si="7"/>
        <v>449.44</v>
      </c>
      <c r="E65" s="53">
        <f t="shared" si="8"/>
        <v>209.03426606169796</v>
      </c>
      <c r="F65" s="54">
        <f t="shared" si="9"/>
        <v>22.949855803937766</v>
      </c>
      <c r="G65" s="54">
        <f>$O$25</f>
        <v>17.014535466086148</v>
      </c>
      <c r="H65" s="53">
        <f t="shared" si="10"/>
        <v>248.99865733172189</v>
      </c>
      <c r="I65" s="54">
        <f t="shared" si="11"/>
        <v>18.301342668278124</v>
      </c>
      <c r="J65" s="54">
        <f t="shared" si="12"/>
        <v>18.301342668278124</v>
      </c>
      <c r="K65" s="18">
        <v>58</v>
      </c>
      <c r="L65" s="18">
        <f t="shared" si="13"/>
        <v>6.8467424871972035E-2</v>
      </c>
    </row>
    <row r="66" spans="1:12">
      <c r="A66" s="18" t="s">
        <v>115</v>
      </c>
      <c r="B66" s="53">
        <v>284.05</v>
      </c>
      <c r="C66" s="18">
        <v>22.9</v>
      </c>
      <c r="D66" s="18">
        <f t="shared" si="7"/>
        <v>524.41</v>
      </c>
      <c r="E66" s="53">
        <f t="shared" si="8"/>
        <v>228.91161246322417</v>
      </c>
      <c r="F66" s="54">
        <f t="shared" si="9"/>
        <v>23.345542972971177</v>
      </c>
      <c r="G66" s="54">
        <f>$O$26</f>
        <v>22.117012910551907</v>
      </c>
      <c r="H66" s="53">
        <f t="shared" si="10"/>
        <v>274.37416834674724</v>
      </c>
      <c r="I66" s="54">
        <f t="shared" si="11"/>
        <v>9.6758316532527715</v>
      </c>
      <c r="J66" s="54">
        <f t="shared" si="12"/>
        <v>9.6758316532527715</v>
      </c>
      <c r="K66" s="18">
        <v>59</v>
      </c>
      <c r="L66" s="18">
        <f t="shared" si="13"/>
        <v>3.4063832611345789E-2</v>
      </c>
    </row>
    <row r="67" spans="1:12">
      <c r="A67" s="18" t="s">
        <v>116</v>
      </c>
      <c r="B67" s="53">
        <v>303.57</v>
      </c>
      <c r="C67" s="18">
        <v>25.8</v>
      </c>
      <c r="D67" s="18">
        <f t="shared" si="7"/>
        <v>665.64</v>
      </c>
      <c r="E67" s="53">
        <f t="shared" si="8"/>
        <v>278.67706235276307</v>
      </c>
      <c r="F67" s="54">
        <f t="shared" si="9"/>
        <v>23.741230142004586</v>
      </c>
      <c r="G67" s="54">
        <f>$O$15</f>
        <v>0</v>
      </c>
      <c r="H67" s="53">
        <f t="shared" si="10"/>
        <v>302.41829249476768</v>
      </c>
      <c r="I67" s="54">
        <f t="shared" si="11"/>
        <v>1.1517075052323094</v>
      </c>
      <c r="J67" s="54">
        <f t="shared" si="12"/>
        <v>1.1517075052323094</v>
      </c>
      <c r="K67" s="18">
        <v>60</v>
      </c>
      <c r="L67" s="18">
        <f t="shared" si="13"/>
        <v>3.793877870778764E-3</v>
      </c>
    </row>
    <row r="68" spans="1:12">
      <c r="A68" s="18" t="s">
        <v>117</v>
      </c>
      <c r="B68" s="53">
        <v>302.39</v>
      </c>
      <c r="C68" s="18">
        <v>26.3</v>
      </c>
      <c r="D68" s="18">
        <f t="shared" si="7"/>
        <v>691.69</v>
      </c>
      <c r="E68" s="53">
        <f t="shared" si="8"/>
        <v>289.27807397148365</v>
      </c>
      <c r="F68" s="54">
        <f t="shared" si="9"/>
        <v>24.136917311037998</v>
      </c>
      <c r="G68" s="54">
        <f>$O$16</f>
        <v>-13.718212838546778</v>
      </c>
      <c r="H68" s="53">
        <f t="shared" si="10"/>
        <v>299.69677844397489</v>
      </c>
      <c r="I68" s="54">
        <f t="shared" si="11"/>
        <v>2.6932215560250938</v>
      </c>
      <c r="J68" s="54">
        <f t="shared" si="12"/>
        <v>2.6932215560250938</v>
      </c>
      <c r="K68" s="18">
        <v>61</v>
      </c>
      <c r="L68" s="18">
        <f t="shared" si="13"/>
        <v>8.9064504647147526E-3</v>
      </c>
    </row>
    <row r="69" spans="1:12">
      <c r="A69" s="18" t="s">
        <v>118</v>
      </c>
      <c r="B69" s="53">
        <v>307.87</v>
      </c>
      <c r="C69" s="18">
        <v>23.3</v>
      </c>
      <c r="D69" s="18">
        <f t="shared" si="7"/>
        <v>542.89</v>
      </c>
      <c r="E69" s="53">
        <f t="shared" si="8"/>
        <v>234.58712913165539</v>
      </c>
      <c r="F69" s="54">
        <f t="shared" si="9"/>
        <v>24.532604480071406</v>
      </c>
      <c r="G69" s="54">
        <f>$O$17</f>
        <v>7.4896918450310181</v>
      </c>
      <c r="H69" s="53">
        <f t="shared" si="10"/>
        <v>266.60942545675783</v>
      </c>
      <c r="I69" s="54">
        <f t="shared" si="11"/>
        <v>41.260574543242171</v>
      </c>
      <c r="J69" s="54">
        <f t="shared" si="12"/>
        <v>41.260574543242171</v>
      </c>
      <c r="K69" s="18">
        <v>62</v>
      </c>
      <c r="L69" s="18">
        <f t="shared" si="13"/>
        <v>0.13401947102102241</v>
      </c>
    </row>
    <row r="70" spans="1:12">
      <c r="A70" s="18" t="s">
        <v>119</v>
      </c>
      <c r="B70" s="53">
        <v>205.97</v>
      </c>
      <c r="C70" s="18">
        <v>18.7</v>
      </c>
      <c r="D70" s="18">
        <f t="shared" si="7"/>
        <v>349.69</v>
      </c>
      <c r="E70" s="53">
        <f t="shared" si="8"/>
        <v>192.28404911624</v>
      </c>
      <c r="F70" s="54">
        <f t="shared" si="9"/>
        <v>24.928291649104818</v>
      </c>
      <c r="G70" s="54">
        <f>$O$18</f>
        <v>-15.674954492721438</v>
      </c>
      <c r="H70" s="53">
        <f t="shared" si="10"/>
        <v>201.53738627262337</v>
      </c>
      <c r="I70" s="54">
        <f t="shared" si="11"/>
        <v>4.4326137273766335</v>
      </c>
      <c r="J70" s="54">
        <f t="shared" si="12"/>
        <v>4.4326137273766335</v>
      </c>
      <c r="K70" s="18">
        <v>63</v>
      </c>
      <c r="L70" s="18">
        <f t="shared" si="13"/>
        <v>2.1520676444999921E-2</v>
      </c>
    </row>
    <row r="71" spans="1:12">
      <c r="A71" s="18" t="s">
        <v>120</v>
      </c>
      <c r="B71" s="53">
        <v>251.95</v>
      </c>
      <c r="C71" s="18">
        <v>12.7</v>
      </c>
      <c r="D71" s="18">
        <f t="shared" ref="D71:D102" si="14">POWER(C71,2)</f>
        <v>161.29</v>
      </c>
      <c r="E71" s="53">
        <f t="shared" ref="E71:E102" si="15">$O$8+($O$9*C71)+($O$10*D71)</f>
        <v>212.70637758010307</v>
      </c>
      <c r="F71" s="54">
        <f t="shared" ref="F71:F102" si="16">$O$11*K71</f>
        <v>25.323978818138226</v>
      </c>
      <c r="G71" s="54">
        <f>$O$19</f>
        <v>-3.0721556374488395</v>
      </c>
      <c r="H71" s="53">
        <f t="shared" ref="H71:H102" si="17">E71+F71+G71</f>
        <v>234.95820076079244</v>
      </c>
      <c r="I71" s="54">
        <f t="shared" ref="I71:I90" si="18">B71-H71</f>
        <v>16.991799239207552</v>
      </c>
      <c r="J71" s="54">
        <f t="shared" ref="J71:J90" si="19">ABS(I71)</f>
        <v>16.991799239207552</v>
      </c>
      <c r="K71" s="18">
        <v>64</v>
      </c>
      <c r="L71" s="18">
        <f t="shared" ref="L71:L90" si="20">J71/B71</f>
        <v>6.7441155940494352E-2</v>
      </c>
    </row>
    <row r="72" spans="1:12">
      <c r="A72" s="18" t="s">
        <v>121</v>
      </c>
      <c r="B72" s="53">
        <v>224.89</v>
      </c>
      <c r="C72" s="18">
        <v>14.6</v>
      </c>
      <c r="D72" s="18">
        <f t="shared" si="14"/>
        <v>213.16</v>
      </c>
      <c r="E72" s="53">
        <f t="shared" si="15"/>
        <v>196.97946386564882</v>
      </c>
      <c r="F72" s="54">
        <f t="shared" si="16"/>
        <v>25.719665987171634</v>
      </c>
      <c r="G72" s="54">
        <f>$O$20</f>
        <v>-4.0964884967844144</v>
      </c>
      <c r="H72" s="53">
        <f t="shared" si="17"/>
        <v>218.60264135603603</v>
      </c>
      <c r="I72" s="54">
        <f t="shared" si="18"/>
        <v>6.2873586439639553</v>
      </c>
      <c r="J72" s="54">
        <f t="shared" si="19"/>
        <v>6.2873586439639553</v>
      </c>
      <c r="K72" s="18">
        <v>65</v>
      </c>
      <c r="L72" s="18">
        <f t="shared" si="20"/>
        <v>2.7957484298830344E-2</v>
      </c>
    </row>
    <row r="73" spans="1:12">
      <c r="A73" s="18" t="s">
        <v>122</v>
      </c>
      <c r="B73" s="53">
        <v>272.49</v>
      </c>
      <c r="C73" s="18">
        <v>10.6</v>
      </c>
      <c r="D73" s="18">
        <f t="shared" si="14"/>
        <v>112.36</v>
      </c>
      <c r="E73" s="53">
        <f t="shared" si="15"/>
        <v>240.07369575327263</v>
      </c>
      <c r="F73" s="54">
        <f t="shared" si="16"/>
        <v>26.115353156205046</v>
      </c>
      <c r="G73" s="54">
        <f>$O$21</f>
        <v>-8.9372751790220292E-2</v>
      </c>
      <c r="H73" s="53">
        <f t="shared" si="17"/>
        <v>266.09967615768744</v>
      </c>
      <c r="I73" s="54">
        <f t="shared" si="18"/>
        <v>6.3903238423125686</v>
      </c>
      <c r="J73" s="54">
        <f t="shared" si="19"/>
        <v>6.3903238423125686</v>
      </c>
      <c r="K73" s="18">
        <v>66</v>
      </c>
      <c r="L73" s="18">
        <f t="shared" si="20"/>
        <v>2.3451590305378429E-2</v>
      </c>
    </row>
    <row r="74" spans="1:12">
      <c r="A74" s="18" t="s">
        <v>123</v>
      </c>
      <c r="B74" s="53">
        <v>222.98</v>
      </c>
      <c r="C74" s="18">
        <v>12.7</v>
      </c>
      <c r="D74" s="18">
        <f t="shared" si="14"/>
        <v>161.29</v>
      </c>
      <c r="E74" s="53">
        <f t="shared" si="15"/>
        <v>212.70637758010307</v>
      </c>
      <c r="F74" s="54">
        <f t="shared" si="16"/>
        <v>26.511040325238454</v>
      </c>
      <c r="G74" s="54">
        <f>$O$22</f>
        <v>-13.564530817770668</v>
      </c>
      <c r="H74" s="53">
        <f t="shared" si="17"/>
        <v>225.65288708757083</v>
      </c>
      <c r="I74" s="54">
        <f t="shared" si="18"/>
        <v>-2.6728870875708424</v>
      </c>
      <c r="J74" s="54">
        <f t="shared" si="19"/>
        <v>2.6728870875708424</v>
      </c>
      <c r="K74" s="18">
        <v>67</v>
      </c>
      <c r="L74" s="18">
        <f t="shared" si="20"/>
        <v>1.1987115829091588E-2</v>
      </c>
    </row>
    <row r="75" spans="1:12">
      <c r="A75" s="18" t="s">
        <v>124</v>
      </c>
      <c r="B75" s="53">
        <v>205.33</v>
      </c>
      <c r="C75" s="18">
        <v>17.100000000000001</v>
      </c>
      <c r="D75" s="18">
        <f t="shared" si="14"/>
        <v>292.41000000000003</v>
      </c>
      <c r="E75" s="53">
        <f t="shared" si="15"/>
        <v>189.36167282628855</v>
      </c>
      <c r="F75" s="54">
        <f t="shared" si="16"/>
        <v>26.906727494271866</v>
      </c>
      <c r="G75" s="54">
        <f>$O$23</f>
        <v>-10.740128390834071</v>
      </c>
      <c r="H75" s="53">
        <f t="shared" si="17"/>
        <v>205.52827192972637</v>
      </c>
      <c r="I75" s="54">
        <f t="shared" si="18"/>
        <v>-0.19827192972635999</v>
      </c>
      <c r="J75" s="54">
        <f t="shared" si="19"/>
        <v>0.19827192972635999</v>
      </c>
      <c r="K75" s="18">
        <v>68</v>
      </c>
      <c r="L75" s="18">
        <f t="shared" si="20"/>
        <v>9.6562572311089453E-4</v>
      </c>
    </row>
    <row r="76" spans="1:12">
      <c r="A76" s="18" t="s">
        <v>125</v>
      </c>
      <c r="B76" s="53">
        <v>246.51</v>
      </c>
      <c r="C76" s="18">
        <v>20.5</v>
      </c>
      <c r="D76" s="18">
        <f t="shared" si="14"/>
        <v>420.25</v>
      </c>
      <c r="E76" s="53">
        <f t="shared" si="15"/>
        <v>202.84646433839055</v>
      </c>
      <c r="F76" s="54">
        <f t="shared" si="16"/>
        <v>27.302414663305274</v>
      </c>
      <c r="G76" s="54">
        <f>$O$24</f>
        <v>19.240871130874236</v>
      </c>
      <c r="H76" s="53">
        <f t="shared" si="17"/>
        <v>249.38975013257007</v>
      </c>
      <c r="I76" s="54">
        <f t="shared" si="18"/>
        <v>-2.8797501325700807</v>
      </c>
      <c r="J76" s="54">
        <f t="shared" si="19"/>
        <v>2.8797501325700807</v>
      </c>
      <c r="K76" s="18">
        <v>69</v>
      </c>
      <c r="L76" s="18">
        <f t="shared" si="20"/>
        <v>1.1682082400592595E-2</v>
      </c>
    </row>
    <row r="77" spans="1:12">
      <c r="A77" s="18" t="s">
        <v>126</v>
      </c>
      <c r="B77" s="53">
        <v>245.85</v>
      </c>
      <c r="C77" s="18">
        <v>22.4</v>
      </c>
      <c r="D77" s="18">
        <f t="shared" si="14"/>
        <v>501.75999999999993</v>
      </c>
      <c r="E77" s="53">
        <f t="shared" si="15"/>
        <v>222.35212412003443</v>
      </c>
      <c r="F77" s="54">
        <f t="shared" si="16"/>
        <v>27.698101832338686</v>
      </c>
      <c r="G77" s="54">
        <f>$O$25</f>
        <v>17.014535466086148</v>
      </c>
      <c r="H77" s="53">
        <f t="shared" si="17"/>
        <v>267.06476141845928</v>
      </c>
      <c r="I77" s="54">
        <f t="shared" si="18"/>
        <v>-21.21476141845929</v>
      </c>
      <c r="J77" s="54">
        <f t="shared" si="19"/>
        <v>21.21476141845929</v>
      </c>
      <c r="K77" s="18">
        <v>70</v>
      </c>
      <c r="L77" s="18">
        <f t="shared" si="20"/>
        <v>8.6291484313440275E-2</v>
      </c>
    </row>
    <row r="78" spans="1:12">
      <c r="A78" s="18" t="s">
        <v>127</v>
      </c>
      <c r="B78" s="53">
        <v>291.49</v>
      </c>
      <c r="C78" s="18">
        <v>22.6</v>
      </c>
      <c r="D78" s="18">
        <f t="shared" si="14"/>
        <v>510.76000000000005</v>
      </c>
      <c r="E78" s="53">
        <f t="shared" si="15"/>
        <v>224.90459845833027</v>
      </c>
      <c r="F78" s="54">
        <f t="shared" si="16"/>
        <v>28.093789001372095</v>
      </c>
      <c r="G78" s="54">
        <f>$O$26</f>
        <v>22.117012910551907</v>
      </c>
      <c r="H78" s="53">
        <f t="shared" si="17"/>
        <v>275.11540037025429</v>
      </c>
      <c r="I78" s="54">
        <f t="shared" si="18"/>
        <v>16.374599629745717</v>
      </c>
      <c r="J78" s="54">
        <f t="shared" si="19"/>
        <v>16.374599629745717</v>
      </c>
      <c r="K78" s="18">
        <v>71</v>
      </c>
      <c r="L78" s="18">
        <f t="shared" si="20"/>
        <v>5.6175510754213578E-2</v>
      </c>
    </row>
    <row r="79" spans="1:12">
      <c r="A79" s="18" t="s">
        <v>128</v>
      </c>
      <c r="B79" s="53">
        <v>314.5</v>
      </c>
      <c r="C79" s="18">
        <v>26.3</v>
      </c>
      <c r="D79" s="18">
        <f t="shared" si="14"/>
        <v>691.69</v>
      </c>
      <c r="E79" s="53">
        <f t="shared" si="15"/>
        <v>289.27807397148365</v>
      </c>
      <c r="F79" s="54">
        <f t="shared" si="16"/>
        <v>28.489476170405503</v>
      </c>
      <c r="G79" s="54">
        <f>$O$15</f>
        <v>0</v>
      </c>
      <c r="H79" s="53">
        <f t="shared" si="17"/>
        <v>317.76755014188916</v>
      </c>
      <c r="I79" s="54">
        <f t="shared" si="18"/>
        <v>-3.2675501418891599</v>
      </c>
      <c r="J79" s="54">
        <f t="shared" si="19"/>
        <v>3.2675501418891599</v>
      </c>
      <c r="K79" s="18">
        <v>72</v>
      </c>
      <c r="L79" s="18">
        <f t="shared" si="20"/>
        <v>1.0389666587882861E-2</v>
      </c>
    </row>
    <row r="80" spans="1:12">
      <c r="A80" s="18" t="s">
        <v>129</v>
      </c>
      <c r="B80" s="53">
        <v>348.59</v>
      </c>
      <c r="C80" s="18">
        <v>26.1</v>
      </c>
      <c r="D80" s="18">
        <f t="shared" si="14"/>
        <v>681.21</v>
      </c>
      <c r="E80" s="53">
        <f t="shared" si="15"/>
        <v>284.96634832501547</v>
      </c>
      <c r="F80" s="54">
        <f t="shared" si="16"/>
        <v>28.885163339438915</v>
      </c>
      <c r="G80" s="54">
        <f>$O$16</f>
        <v>-13.718212838546778</v>
      </c>
      <c r="H80" s="53">
        <f t="shared" si="17"/>
        <v>300.13329882590762</v>
      </c>
      <c r="I80" s="54">
        <f t="shared" si="18"/>
        <v>48.456701174092359</v>
      </c>
      <c r="J80" s="54">
        <f t="shared" si="19"/>
        <v>48.456701174092359</v>
      </c>
      <c r="K80" s="18">
        <v>73</v>
      </c>
      <c r="L80" s="18">
        <f t="shared" si="20"/>
        <v>0.13900772017009197</v>
      </c>
    </row>
    <row r="81" spans="1:12">
      <c r="A81" s="18" t="s">
        <v>130</v>
      </c>
      <c r="B81" s="53">
        <v>252.36</v>
      </c>
      <c r="C81" s="18">
        <v>23.4</v>
      </c>
      <c r="D81" s="18">
        <f t="shared" si="14"/>
        <v>547.55999999999995</v>
      </c>
      <c r="E81" s="53">
        <f t="shared" si="15"/>
        <v>236.06544246457997</v>
      </c>
      <c r="F81" s="54">
        <f t="shared" si="16"/>
        <v>29.280850508472323</v>
      </c>
      <c r="G81" s="54">
        <f>$O$17</f>
        <v>7.4896918450310181</v>
      </c>
      <c r="H81" s="53">
        <f t="shared" si="17"/>
        <v>272.83598481808332</v>
      </c>
      <c r="I81" s="54">
        <f t="shared" si="18"/>
        <v>-20.475984818083305</v>
      </c>
      <c r="J81" s="54">
        <f t="shared" si="19"/>
        <v>20.475984818083305</v>
      </c>
      <c r="K81" s="18">
        <v>74</v>
      </c>
      <c r="L81" s="18">
        <f t="shared" si="20"/>
        <v>8.1137996584574823E-2</v>
      </c>
    </row>
    <row r="82" spans="1:12">
      <c r="A82" s="18" t="s">
        <v>131</v>
      </c>
      <c r="B82" s="53">
        <v>192.04</v>
      </c>
      <c r="C82" s="18">
        <v>18.399999999999999</v>
      </c>
      <c r="D82" s="18">
        <f t="shared" si="14"/>
        <v>338.55999999999995</v>
      </c>
      <c r="E82" s="53">
        <f t="shared" si="15"/>
        <v>191.27251706850427</v>
      </c>
      <c r="F82" s="54">
        <f t="shared" si="16"/>
        <v>29.676537677505735</v>
      </c>
      <c r="G82" s="54">
        <f>$O$18</f>
        <v>-15.674954492721438</v>
      </c>
      <c r="H82" s="53">
        <f t="shared" si="17"/>
        <v>205.27410025328857</v>
      </c>
      <c r="I82" s="54">
        <f t="shared" si="18"/>
        <v>-13.234100253288574</v>
      </c>
      <c r="J82" s="54">
        <f t="shared" si="19"/>
        <v>13.234100253288574</v>
      </c>
      <c r="K82" s="18">
        <v>75</v>
      </c>
      <c r="L82" s="18">
        <f t="shared" si="20"/>
        <v>6.891324855909485E-2</v>
      </c>
    </row>
    <row r="83" spans="1:12">
      <c r="A83" s="92">
        <v>45778</v>
      </c>
      <c r="B83" s="53">
        <v>211.53</v>
      </c>
      <c r="C83" s="18">
        <v>16.7</v>
      </c>
      <c r="D83" s="18">
        <f t="shared" si="14"/>
        <v>278.89</v>
      </c>
      <c r="E83" s="53">
        <f t="shared" si="15"/>
        <v>189.58202540686688</v>
      </c>
      <c r="F83" s="54">
        <f t="shared" si="16"/>
        <v>30.072224846539143</v>
      </c>
      <c r="G83" s="54">
        <f>$O$19</f>
        <v>-3.0721556374488395</v>
      </c>
      <c r="H83" s="53">
        <f t="shared" si="17"/>
        <v>216.58209461595717</v>
      </c>
      <c r="I83" s="54">
        <f t="shared" si="18"/>
        <v>-5.0520946159571736</v>
      </c>
      <c r="J83" s="54">
        <f t="shared" si="19"/>
        <v>5.0520946159571736</v>
      </c>
      <c r="K83" s="18">
        <v>76</v>
      </c>
      <c r="L83" s="18">
        <f t="shared" si="20"/>
        <v>2.3883584436993208E-2</v>
      </c>
    </row>
    <row r="84" spans="1:12">
      <c r="A84" s="18" t="s">
        <v>132</v>
      </c>
      <c r="B84" s="53">
        <v>241.7</v>
      </c>
      <c r="C84" s="18">
        <v>11.2</v>
      </c>
      <c r="D84" s="18">
        <f t="shared" si="14"/>
        <v>125.43999999999998</v>
      </c>
      <c r="E84" s="53">
        <f t="shared" si="15"/>
        <v>231.18464700481056</v>
      </c>
      <c r="F84" s="54">
        <f t="shared" si="16"/>
        <v>30.467912015572551</v>
      </c>
      <c r="G84" s="54">
        <f>$O$20</f>
        <v>-4.0964884967844144</v>
      </c>
      <c r="H84" s="53">
        <f t="shared" si="17"/>
        <v>257.55607052359875</v>
      </c>
      <c r="I84" s="54">
        <f t="shared" si="18"/>
        <v>-15.85607052359876</v>
      </c>
      <c r="J84" s="54">
        <f t="shared" si="19"/>
        <v>15.85607052359876</v>
      </c>
      <c r="K84" s="18">
        <v>77</v>
      </c>
      <c r="L84" s="18">
        <f t="shared" si="20"/>
        <v>6.5602277714517002E-2</v>
      </c>
    </row>
    <row r="85" spans="1:12">
      <c r="A85" s="18" t="s">
        <v>133</v>
      </c>
      <c r="B85" s="53">
        <v>247.78</v>
      </c>
      <c r="C85" s="18">
        <v>12.3</v>
      </c>
      <c r="D85" s="18">
        <f t="shared" si="14"/>
        <v>151.29000000000002</v>
      </c>
      <c r="E85" s="53">
        <f t="shared" si="15"/>
        <v>217.11089543417202</v>
      </c>
      <c r="F85" s="54">
        <f t="shared" si="16"/>
        <v>30.863599184605963</v>
      </c>
      <c r="G85" s="54">
        <f>$O$21</f>
        <v>-8.9372751790220292E-2</v>
      </c>
      <c r="H85" s="53">
        <f t="shared" si="17"/>
        <v>247.88512186698776</v>
      </c>
      <c r="I85" s="54">
        <f t="shared" si="18"/>
        <v>-0.10512186698775849</v>
      </c>
      <c r="J85" s="54">
        <f t="shared" si="19"/>
        <v>0.10512186698775849</v>
      </c>
      <c r="K85" s="18">
        <v>78</v>
      </c>
      <c r="L85" s="18">
        <f t="shared" si="20"/>
        <v>4.2425485102816406E-4</v>
      </c>
    </row>
    <row r="86" spans="1:12">
      <c r="A86" s="18" t="s">
        <v>134</v>
      </c>
      <c r="B86" s="53">
        <v>217.54</v>
      </c>
      <c r="C86" s="18">
        <v>13.9</v>
      </c>
      <c r="D86" s="18">
        <f t="shared" si="14"/>
        <v>193.21</v>
      </c>
      <c r="E86" s="53">
        <f t="shared" si="15"/>
        <v>201.77509598525464</v>
      </c>
      <c r="F86" s="54">
        <f t="shared" si="16"/>
        <v>31.259286353639371</v>
      </c>
      <c r="G86" s="54">
        <f>$O$22</f>
        <v>-13.564530817770668</v>
      </c>
      <c r="H86" s="53">
        <f t="shared" si="17"/>
        <v>219.46985152112333</v>
      </c>
      <c r="I86" s="54">
        <f t="shared" si="18"/>
        <v>-1.9298515211233394</v>
      </c>
      <c r="J86" s="54">
        <f t="shared" si="19"/>
        <v>1.9298515211233394</v>
      </c>
      <c r="K86" s="18">
        <v>79</v>
      </c>
      <c r="L86" s="18">
        <f t="shared" si="20"/>
        <v>8.8712490628084003E-3</v>
      </c>
    </row>
    <row r="87" spans="1:12">
      <c r="A87" s="18" t="s">
        <v>135</v>
      </c>
      <c r="B87" s="53">
        <v>213.9</v>
      </c>
      <c r="C87" s="18">
        <v>15.6</v>
      </c>
      <c r="D87" s="18">
        <f t="shared" si="14"/>
        <v>243.35999999999999</v>
      </c>
      <c r="E87" s="53">
        <f t="shared" si="15"/>
        <v>192.14932247540582</v>
      </c>
      <c r="F87" s="54">
        <f t="shared" si="16"/>
        <v>31.654973522672783</v>
      </c>
      <c r="G87" s="54">
        <f>$O$23</f>
        <v>-10.740128390834071</v>
      </c>
      <c r="H87" s="53">
        <f t="shared" si="17"/>
        <v>213.06416760724454</v>
      </c>
      <c r="I87" s="54">
        <f t="shared" si="18"/>
        <v>0.83583239275546362</v>
      </c>
      <c r="J87" s="54">
        <f t="shared" si="19"/>
        <v>0.83583239275546362</v>
      </c>
      <c r="K87" s="18">
        <v>80</v>
      </c>
      <c r="L87" s="18">
        <f t="shared" si="20"/>
        <v>3.9075848188661229E-3</v>
      </c>
    </row>
    <row r="88" spans="1:12">
      <c r="A88" s="18" t="s">
        <v>136</v>
      </c>
      <c r="B88" s="53">
        <v>238.93</v>
      </c>
      <c r="C88" s="18">
        <v>19.5</v>
      </c>
      <c r="D88" s="18">
        <f t="shared" si="14"/>
        <v>380.25</v>
      </c>
      <c r="E88" s="53">
        <f t="shared" si="15"/>
        <v>196.02750922857416</v>
      </c>
      <c r="F88" s="54">
        <f t="shared" si="16"/>
        <v>32.050660691706192</v>
      </c>
      <c r="G88" s="54">
        <f>$O$24</f>
        <v>19.240871130874236</v>
      </c>
      <c r="H88" s="53">
        <f t="shared" si="17"/>
        <v>247.31904105115458</v>
      </c>
      <c r="I88" s="54">
        <f t="shared" si="18"/>
        <v>-8.3890410511545781</v>
      </c>
      <c r="J88" s="54">
        <f t="shared" si="19"/>
        <v>8.3890410511545781</v>
      </c>
      <c r="K88" s="18">
        <v>81</v>
      </c>
      <c r="L88" s="18">
        <f t="shared" si="20"/>
        <v>3.5110873691686174E-2</v>
      </c>
    </row>
    <row r="89" spans="1:12">
      <c r="A89" s="18" t="s">
        <v>137</v>
      </c>
      <c r="B89" s="53">
        <v>257.05</v>
      </c>
      <c r="C89" s="18">
        <v>20.6</v>
      </c>
      <c r="D89" s="18">
        <f t="shared" si="14"/>
        <v>424.36000000000007</v>
      </c>
      <c r="E89" s="53">
        <f t="shared" si="15"/>
        <v>203.65911501416889</v>
      </c>
      <c r="F89" s="54">
        <f t="shared" si="16"/>
        <v>32.4463478607396</v>
      </c>
      <c r="G89" s="54">
        <f>$O$25</f>
        <v>17.014535466086148</v>
      </c>
      <c r="H89" s="53">
        <f t="shared" si="17"/>
        <v>253.11999834099464</v>
      </c>
      <c r="I89" s="54">
        <f t="shared" si="18"/>
        <v>3.9300016590053701</v>
      </c>
      <c r="J89" s="54">
        <f t="shared" si="19"/>
        <v>3.9300016590053701</v>
      </c>
      <c r="K89" s="18">
        <v>82</v>
      </c>
      <c r="L89" s="18">
        <f t="shared" si="20"/>
        <v>1.5288860762518459E-2</v>
      </c>
    </row>
    <row r="90" spans="1:12">
      <c r="A90" s="18" t="s">
        <v>138</v>
      </c>
      <c r="B90" s="53">
        <v>302.49</v>
      </c>
      <c r="C90" s="18">
        <v>25.9</v>
      </c>
      <c r="D90" s="18">
        <f t="shared" si="14"/>
        <v>670.81</v>
      </c>
      <c r="E90" s="53">
        <f t="shared" si="15"/>
        <v>280.74971734385406</v>
      </c>
      <c r="F90" s="54">
        <f t="shared" si="16"/>
        <v>32.842035029773015</v>
      </c>
      <c r="G90" s="54">
        <f>$O$26</f>
        <v>22.117012910551907</v>
      </c>
      <c r="H90" s="53">
        <f t="shared" si="17"/>
        <v>335.70876528417898</v>
      </c>
      <c r="I90" s="54">
        <f t="shared" si="18"/>
        <v>-33.218765284178971</v>
      </c>
      <c r="J90" s="54">
        <f t="shared" si="19"/>
        <v>33.218765284178971</v>
      </c>
      <c r="K90" s="18">
        <v>83</v>
      </c>
      <c r="L90" s="18">
        <f t="shared" si="20"/>
        <v>0.10981773045118506</v>
      </c>
    </row>
    <row r="91" spans="1:12">
      <c r="A91" s="58" t="s">
        <v>139</v>
      </c>
      <c r="B91" s="18"/>
      <c r="C91" s="18">
        <v>25.83</v>
      </c>
      <c r="D91" s="55">
        <f t="shared" si="14"/>
        <v>667.18889999999988</v>
      </c>
      <c r="E91" s="53">
        <f t="shared" si="15"/>
        <v>279.2963626151261</v>
      </c>
      <c r="F91" s="54">
        <f t="shared" si="16"/>
        <v>33.237722198806424</v>
      </c>
      <c r="G91" s="54">
        <f>$O$15</f>
        <v>0</v>
      </c>
      <c r="H91" s="57">
        <f t="shared" si="17"/>
        <v>312.53408481393251</v>
      </c>
      <c r="I91" s="18"/>
      <c r="J91" s="18"/>
      <c r="K91" s="18">
        <v>84</v>
      </c>
      <c r="L91" s="18"/>
    </row>
    <row r="92" spans="1:12">
      <c r="A92" s="58" t="s">
        <v>140</v>
      </c>
      <c r="B92" s="18"/>
      <c r="C92" s="18">
        <v>24.91</v>
      </c>
      <c r="D92" s="55">
        <f t="shared" si="14"/>
        <v>620.50810000000001</v>
      </c>
      <c r="E92" s="53">
        <f t="shared" si="15"/>
        <v>261.27778180207588</v>
      </c>
      <c r="F92" s="54">
        <f t="shared" si="16"/>
        <v>33.633409367839832</v>
      </c>
      <c r="G92" s="54">
        <f>$O$16</f>
        <v>-13.718212838546778</v>
      </c>
      <c r="H92" s="57">
        <f t="shared" si="17"/>
        <v>281.19297833136892</v>
      </c>
      <c r="I92" s="18"/>
      <c r="J92" s="18"/>
      <c r="K92" s="18">
        <v>85</v>
      </c>
      <c r="L92" s="18"/>
    </row>
    <row r="93" spans="1:12">
      <c r="A93" s="58" t="s">
        <v>141</v>
      </c>
      <c r="B93" s="18"/>
      <c r="C93" s="18">
        <v>23.2</v>
      </c>
      <c r="D93" s="55">
        <f t="shared" si="14"/>
        <v>538.24</v>
      </c>
      <c r="E93" s="53">
        <f t="shared" si="15"/>
        <v>233.13258946505766</v>
      </c>
      <c r="F93" s="54">
        <f t="shared" si="16"/>
        <v>34.02909653687324</v>
      </c>
      <c r="G93" s="54">
        <f>$O$17</f>
        <v>7.4896918450310181</v>
      </c>
      <c r="H93" s="57">
        <f t="shared" si="17"/>
        <v>274.65137784696191</v>
      </c>
      <c r="I93" s="18"/>
      <c r="J93" s="18"/>
      <c r="K93" s="18">
        <v>86</v>
      </c>
      <c r="L93" s="18"/>
    </row>
    <row r="94" spans="1:12">
      <c r="A94" s="58" t="s">
        <v>142</v>
      </c>
      <c r="B94" s="18"/>
      <c r="C94" s="18">
        <v>18.940000000000001</v>
      </c>
      <c r="D94" s="55">
        <f t="shared" si="14"/>
        <v>358.72360000000003</v>
      </c>
      <c r="E94" s="53">
        <f t="shared" si="15"/>
        <v>193.24732811222498</v>
      </c>
      <c r="F94" s="54">
        <f t="shared" si="16"/>
        <v>34.424783705906648</v>
      </c>
      <c r="G94" s="54">
        <f>$O$18</f>
        <v>-15.674954492721438</v>
      </c>
      <c r="H94" s="57">
        <f t="shared" si="17"/>
        <v>211.99715732541017</v>
      </c>
      <c r="I94" s="18"/>
      <c r="J94" s="18"/>
      <c r="K94" s="18">
        <v>87</v>
      </c>
      <c r="L94" s="18"/>
    </row>
    <row r="95" spans="1:12">
      <c r="A95" s="58" t="s">
        <v>143</v>
      </c>
      <c r="B95" s="18"/>
      <c r="C95" s="18">
        <v>15.09</v>
      </c>
      <c r="D95" s="55">
        <f t="shared" si="14"/>
        <v>227.7081</v>
      </c>
      <c r="E95" s="53">
        <f t="shared" si="15"/>
        <v>194.31564262367823</v>
      </c>
      <c r="F95" s="54">
        <f t="shared" si="16"/>
        <v>34.820470874940064</v>
      </c>
      <c r="G95" s="54">
        <f>$O$19</f>
        <v>-3.0721556374488395</v>
      </c>
      <c r="H95" s="57">
        <f t="shared" si="17"/>
        <v>226.06395786116946</v>
      </c>
      <c r="I95" s="18"/>
      <c r="J95" s="18"/>
      <c r="K95" s="18">
        <v>88</v>
      </c>
      <c r="L95" s="18"/>
    </row>
    <row r="96" spans="1:12">
      <c r="A96" s="58" t="s">
        <v>144</v>
      </c>
      <c r="B96" s="18"/>
      <c r="C96" s="18">
        <v>12.76</v>
      </c>
      <c r="D96" s="55">
        <f t="shared" si="14"/>
        <v>162.8176</v>
      </c>
      <c r="E96" s="53">
        <f t="shared" si="15"/>
        <v>212.07850756152354</v>
      </c>
      <c r="F96" s="54">
        <f t="shared" si="16"/>
        <v>35.216158043973472</v>
      </c>
      <c r="G96" s="54">
        <f>$O$20</f>
        <v>-4.0964884967844144</v>
      </c>
      <c r="H96" s="57">
        <f t="shared" si="17"/>
        <v>243.1981771087126</v>
      </c>
      <c r="I96" s="18"/>
      <c r="J96" s="18"/>
      <c r="K96" s="18">
        <v>89</v>
      </c>
      <c r="L96" s="18"/>
    </row>
    <row r="97" spans="1:12">
      <c r="A97" s="58" t="s">
        <v>145</v>
      </c>
      <c r="B97" s="18"/>
      <c r="C97" s="18">
        <v>11.9</v>
      </c>
      <c r="D97" s="55">
        <f t="shared" si="14"/>
        <v>141.61000000000001</v>
      </c>
      <c r="E97" s="53">
        <f t="shared" si="15"/>
        <v>221.89579194946745</v>
      </c>
      <c r="F97" s="54">
        <f t="shared" si="16"/>
        <v>35.61184521300688</v>
      </c>
      <c r="G97" s="54">
        <f>$O$21</f>
        <v>-8.9372751790220292E-2</v>
      </c>
      <c r="H97" s="57">
        <f t="shared" si="17"/>
        <v>257.41826441068412</v>
      </c>
      <c r="I97" s="18"/>
      <c r="J97" s="18"/>
      <c r="K97" s="18">
        <v>90</v>
      </c>
      <c r="L97" s="18"/>
    </row>
    <row r="98" spans="1:12">
      <c r="A98" s="58" t="s">
        <v>146</v>
      </c>
      <c r="B98" s="18"/>
      <c r="C98" s="18">
        <v>13.31</v>
      </c>
      <c r="D98" s="55">
        <f t="shared" si="14"/>
        <v>177.15610000000001</v>
      </c>
      <c r="E98" s="53">
        <f t="shared" si="15"/>
        <v>206.72183564384031</v>
      </c>
      <c r="F98" s="54">
        <f t="shared" si="16"/>
        <v>36.007532382040289</v>
      </c>
      <c r="G98" s="54">
        <f>$O$22</f>
        <v>-13.564530817770668</v>
      </c>
      <c r="H98" s="57">
        <f t="shared" si="17"/>
        <v>229.16483720810993</v>
      </c>
      <c r="I98" s="18"/>
      <c r="J98" s="18"/>
      <c r="K98" s="18">
        <v>91</v>
      </c>
      <c r="L98" s="18"/>
    </row>
    <row r="99" spans="1:12">
      <c r="A99" s="58" t="s">
        <v>147</v>
      </c>
      <c r="B99" s="18"/>
      <c r="C99" s="18">
        <v>15.64</v>
      </c>
      <c r="D99" s="55">
        <f t="shared" si="14"/>
        <v>244.60960000000003</v>
      </c>
      <c r="E99" s="53">
        <f t="shared" si="15"/>
        <v>192.00556604575559</v>
      </c>
      <c r="F99" s="54">
        <f t="shared" si="16"/>
        <v>36.403219551073697</v>
      </c>
      <c r="G99" s="54">
        <f>$O$23</f>
        <v>-10.740128390834071</v>
      </c>
      <c r="H99" s="57">
        <f t="shared" si="17"/>
        <v>217.66865720599523</v>
      </c>
      <c r="I99" s="18"/>
      <c r="J99" s="18"/>
      <c r="K99" s="18">
        <v>92</v>
      </c>
      <c r="L99" s="18"/>
    </row>
    <row r="100" spans="1:12">
      <c r="A100" s="58" t="s">
        <v>148</v>
      </c>
      <c r="B100" s="18"/>
      <c r="C100" s="18">
        <v>18.54</v>
      </c>
      <c r="D100" s="55">
        <f t="shared" si="14"/>
        <v>343.73159999999996</v>
      </c>
      <c r="E100" s="53">
        <f t="shared" si="15"/>
        <v>191.7179388511617</v>
      </c>
      <c r="F100" s="54">
        <f t="shared" si="16"/>
        <v>36.798906720107112</v>
      </c>
      <c r="G100" s="54">
        <f>$O$24</f>
        <v>19.240871130874236</v>
      </c>
      <c r="H100" s="57">
        <f t="shared" si="17"/>
        <v>247.75771670214306</v>
      </c>
      <c r="I100" s="18"/>
      <c r="J100" s="18"/>
      <c r="K100" s="18">
        <v>93</v>
      </c>
      <c r="L100" s="18"/>
    </row>
    <row r="101" spans="1:12">
      <c r="A101" s="58" t="s">
        <v>149</v>
      </c>
      <c r="B101" s="18"/>
      <c r="C101" s="18">
        <v>21.91</v>
      </c>
      <c r="D101" s="55">
        <f t="shared" si="14"/>
        <v>480.04810000000003</v>
      </c>
      <c r="E101" s="53">
        <f t="shared" si="15"/>
        <v>216.50045582046164</v>
      </c>
      <c r="F101" s="54">
        <f t="shared" si="16"/>
        <v>37.194593889140521</v>
      </c>
      <c r="G101" s="54">
        <f>$O$25</f>
        <v>17.014535466086148</v>
      </c>
      <c r="H101" s="57">
        <f t="shared" si="17"/>
        <v>270.70958517568829</v>
      </c>
      <c r="I101" s="18"/>
      <c r="J101" s="18"/>
      <c r="K101" s="18">
        <v>94</v>
      </c>
      <c r="L101" s="18"/>
    </row>
    <row r="102" spans="1:12">
      <c r="A102" s="58" t="s">
        <v>150</v>
      </c>
      <c r="B102" s="18"/>
      <c r="C102" s="18">
        <v>24.09</v>
      </c>
      <c r="D102" s="55">
        <f t="shared" si="14"/>
        <v>580.32809999999995</v>
      </c>
      <c r="E102" s="53">
        <f t="shared" si="15"/>
        <v>246.91375573749178</v>
      </c>
      <c r="F102" s="54">
        <f t="shared" si="16"/>
        <v>37.590281058173929</v>
      </c>
      <c r="G102" s="54">
        <f>$O$26</f>
        <v>22.117012910551907</v>
      </c>
      <c r="H102" s="57">
        <f t="shared" si="17"/>
        <v>306.6210497062176</v>
      </c>
      <c r="I102" s="18"/>
      <c r="J102" s="18"/>
      <c r="K102" s="18">
        <v>95</v>
      </c>
      <c r="L102" s="18"/>
    </row>
    <row r="107" spans="1:12">
      <c r="B107" s="95" t="s">
        <v>151</v>
      </c>
      <c r="C107" s="95"/>
      <c r="D107" s="95"/>
      <c r="E107" s="95"/>
      <c r="F107" s="95"/>
    </row>
    <row r="108" spans="1:12">
      <c r="B108" s="95"/>
      <c r="C108" s="95"/>
      <c r="D108" s="95"/>
      <c r="E108" s="95"/>
      <c r="F108" s="95"/>
    </row>
    <row r="111" spans="1:12">
      <c r="A111" t="s">
        <v>1</v>
      </c>
      <c r="B111" t="s">
        <v>152</v>
      </c>
      <c r="C111" t="s">
        <v>153</v>
      </c>
      <c r="D111" t="s">
        <v>154</v>
      </c>
      <c r="E111" t="s">
        <v>155</v>
      </c>
      <c r="F111" t="s">
        <v>156</v>
      </c>
      <c r="G111" t="s">
        <v>157</v>
      </c>
    </row>
    <row r="112" spans="1:12">
      <c r="A112" s="59" t="s">
        <v>158</v>
      </c>
      <c r="B112" s="29">
        <f t="shared" ref="B112:B123" si="21">C91</f>
        <v>25.83</v>
      </c>
      <c r="C112" s="29">
        <f>B112*1.1</f>
        <v>28.413</v>
      </c>
      <c r="D112" s="29">
        <f t="shared" ref="D112:D123" si="22">C112^2</f>
        <v>807.29856900000004</v>
      </c>
      <c r="E112" s="57">
        <f t="shared" ref="E112:E123" si="23">H91</f>
        <v>312.53408481393251</v>
      </c>
      <c r="F112" s="57">
        <f t="shared" ref="F112:F123" si="24">$O$8 + ($O$9 * C112) + ($O$10 * D112) + ($O$11 * K91) + VLOOKUP(A112, $N$15:$O$26, 2, FALSE)</f>
        <v>373.87871161628698</v>
      </c>
      <c r="G112" s="56">
        <f>Tabla5[[#This Row],[Pron Sensibilizado]]-Tabla5[[#This Row],[Pronostico base]]</f>
        <v>61.344626802354469</v>
      </c>
    </row>
    <row r="113" spans="1:7">
      <c r="A113" s="59" t="s">
        <v>159</v>
      </c>
      <c r="B113" s="29">
        <f t="shared" si="21"/>
        <v>24.91</v>
      </c>
      <c r="C113" s="29">
        <f>B113*1.1</f>
        <v>27.401000000000003</v>
      </c>
      <c r="D113" s="29">
        <f t="shared" si="22"/>
        <v>750.81480100000022</v>
      </c>
      <c r="E113" s="57">
        <f t="shared" si="23"/>
        <v>281.19297833136892</v>
      </c>
      <c r="F113" s="57">
        <f t="shared" si="24"/>
        <v>334.63199135558187</v>
      </c>
      <c r="G113" s="56">
        <f>Tabla5[[#This Row],[Pron Sensibilizado]]-Tabla5[[#This Row],[Pronostico base]]</f>
        <v>53.439013024212954</v>
      </c>
    </row>
    <row r="114" spans="1:7">
      <c r="A114" s="59" t="s">
        <v>160</v>
      </c>
      <c r="B114" s="29">
        <f t="shared" si="21"/>
        <v>23.2</v>
      </c>
      <c r="C114" s="29">
        <f>B114*1.1</f>
        <v>25.52</v>
      </c>
      <c r="D114" s="29">
        <f t="shared" si="22"/>
        <v>651.2704</v>
      </c>
      <c r="E114" s="57">
        <f t="shared" si="23"/>
        <v>274.65137784696191</v>
      </c>
      <c r="F114" s="57">
        <f t="shared" si="24"/>
        <v>314.51889266447114</v>
      </c>
      <c r="G114" s="56">
        <f>Tabla5[[#This Row],[Pron Sensibilizado]]-Tabla5[[#This Row],[Pronostico base]]</f>
        <v>39.867514817509232</v>
      </c>
    </row>
    <row r="115" spans="1:7">
      <c r="A115" s="59" t="s">
        <v>161</v>
      </c>
      <c r="B115" s="29">
        <f t="shared" si="21"/>
        <v>18.940000000000001</v>
      </c>
      <c r="C115" s="29">
        <f>B115*1.1</f>
        <v>20.834000000000003</v>
      </c>
      <c r="D115" s="29">
        <f t="shared" si="22"/>
        <v>434.05555600000014</v>
      </c>
      <c r="E115" s="57">
        <f t="shared" si="23"/>
        <v>211.99715732541017</v>
      </c>
      <c r="F115" s="57">
        <f t="shared" si="24"/>
        <v>224.40344954194643</v>
      </c>
      <c r="G115" s="56">
        <f>Tabla5[[#This Row],[Pron Sensibilizado]]-Tabla5[[#This Row],[Pronostico base]]</f>
        <v>12.406292216536258</v>
      </c>
    </row>
    <row r="116" spans="1:7">
      <c r="A116" s="59" t="s">
        <v>162</v>
      </c>
      <c r="B116" s="29">
        <f t="shared" si="21"/>
        <v>15.09</v>
      </c>
      <c r="C116" s="29">
        <f t="shared" ref="C116:C122" si="25">B116</f>
        <v>15.09</v>
      </c>
      <c r="D116" s="29">
        <f t="shared" si="22"/>
        <v>227.7081</v>
      </c>
      <c r="E116" s="57">
        <f t="shared" si="23"/>
        <v>226.06395786116946</v>
      </c>
      <c r="F116" s="57">
        <f t="shared" si="24"/>
        <v>226.06395786116946</v>
      </c>
      <c r="G116" s="56">
        <f>Tabla5[[#This Row],[Pron Sensibilizado]]-Tabla5[[#This Row],[Pronostico base]]</f>
        <v>0</v>
      </c>
    </row>
    <row r="117" spans="1:7">
      <c r="A117" s="59" t="s">
        <v>163</v>
      </c>
      <c r="B117" s="29">
        <f t="shared" si="21"/>
        <v>12.76</v>
      </c>
      <c r="C117" s="29">
        <f t="shared" si="25"/>
        <v>12.76</v>
      </c>
      <c r="D117" s="29">
        <f t="shared" si="22"/>
        <v>162.8176</v>
      </c>
      <c r="E117" s="57">
        <f t="shared" si="23"/>
        <v>243.1981771087126</v>
      </c>
      <c r="F117" s="57">
        <f t="shared" si="24"/>
        <v>243.1981771087126</v>
      </c>
      <c r="G117" s="56">
        <f>Tabla5[[#This Row],[Pron Sensibilizado]]-Tabla5[[#This Row],[Pronostico base]]</f>
        <v>0</v>
      </c>
    </row>
    <row r="118" spans="1:7">
      <c r="A118" s="59" t="s">
        <v>164</v>
      </c>
      <c r="B118" s="29">
        <f t="shared" si="21"/>
        <v>11.9</v>
      </c>
      <c r="C118" s="29">
        <f t="shared" si="25"/>
        <v>11.9</v>
      </c>
      <c r="D118" s="29">
        <f t="shared" si="22"/>
        <v>141.61000000000001</v>
      </c>
      <c r="E118" s="57">
        <f t="shared" si="23"/>
        <v>257.41826441068412</v>
      </c>
      <c r="F118" s="57">
        <f t="shared" si="24"/>
        <v>257.41826441068412</v>
      </c>
      <c r="G118" s="56">
        <f>Tabla5[[#This Row],[Pron Sensibilizado]]-Tabla5[[#This Row],[Pronostico base]]</f>
        <v>0</v>
      </c>
    </row>
    <row r="119" spans="1:7">
      <c r="A119" s="59" t="s">
        <v>165</v>
      </c>
      <c r="B119" s="29">
        <f t="shared" si="21"/>
        <v>13.31</v>
      </c>
      <c r="C119" s="29">
        <f t="shared" si="25"/>
        <v>13.31</v>
      </c>
      <c r="D119" s="29">
        <f t="shared" si="22"/>
        <v>177.15610000000001</v>
      </c>
      <c r="E119" s="57">
        <f t="shared" si="23"/>
        <v>229.16483720810993</v>
      </c>
      <c r="F119" s="57">
        <f t="shared" si="24"/>
        <v>229.16483720810993</v>
      </c>
      <c r="G119" s="56">
        <f>Tabla5[[#This Row],[Pron Sensibilizado]]-Tabla5[[#This Row],[Pronostico base]]</f>
        <v>0</v>
      </c>
    </row>
    <row r="120" spans="1:7">
      <c r="A120" s="59" t="s">
        <v>166</v>
      </c>
      <c r="B120" s="29">
        <f t="shared" si="21"/>
        <v>15.64</v>
      </c>
      <c r="C120" s="29">
        <f t="shared" si="25"/>
        <v>15.64</v>
      </c>
      <c r="D120" s="29">
        <f t="shared" si="22"/>
        <v>244.60960000000003</v>
      </c>
      <c r="E120" s="57">
        <f t="shared" si="23"/>
        <v>217.66865720599523</v>
      </c>
      <c r="F120" s="57">
        <f t="shared" si="24"/>
        <v>217.66865720599523</v>
      </c>
      <c r="G120" s="56">
        <f>Tabla5[[#This Row],[Pron Sensibilizado]]-Tabla5[[#This Row],[Pronostico base]]</f>
        <v>0</v>
      </c>
    </row>
    <row r="121" spans="1:7">
      <c r="A121" s="59" t="s">
        <v>167</v>
      </c>
      <c r="B121" s="29">
        <f t="shared" si="21"/>
        <v>18.54</v>
      </c>
      <c r="C121" s="29">
        <f t="shared" si="25"/>
        <v>18.54</v>
      </c>
      <c r="D121" s="29">
        <f t="shared" si="22"/>
        <v>343.73159999999996</v>
      </c>
      <c r="E121" s="57">
        <f t="shared" si="23"/>
        <v>247.75771670214306</v>
      </c>
      <c r="F121" s="57">
        <f t="shared" si="24"/>
        <v>247.75771670214306</v>
      </c>
      <c r="G121" s="56">
        <f>Tabla5[[#This Row],[Pron Sensibilizado]]-Tabla5[[#This Row],[Pronostico base]]</f>
        <v>0</v>
      </c>
    </row>
    <row r="122" spans="1:7">
      <c r="A122" s="59" t="s">
        <v>168</v>
      </c>
      <c r="B122" s="29">
        <f t="shared" si="21"/>
        <v>21.91</v>
      </c>
      <c r="C122" s="29">
        <f t="shared" si="25"/>
        <v>21.91</v>
      </c>
      <c r="D122" s="29">
        <f t="shared" si="22"/>
        <v>480.04810000000003</v>
      </c>
      <c r="E122" s="57">
        <f t="shared" si="23"/>
        <v>270.70958517568829</v>
      </c>
      <c r="F122" s="57">
        <f t="shared" si="24"/>
        <v>270.70958517568829</v>
      </c>
      <c r="G122" s="56">
        <f>Tabla5[[#This Row],[Pron Sensibilizado]]-Tabla5[[#This Row],[Pronostico base]]</f>
        <v>0</v>
      </c>
    </row>
    <row r="123" spans="1:7">
      <c r="A123" s="59" t="s">
        <v>169</v>
      </c>
      <c r="B123" s="29">
        <f t="shared" si="21"/>
        <v>24.09</v>
      </c>
      <c r="C123" s="29">
        <f>B123*1.1</f>
        <v>26.499000000000002</v>
      </c>
      <c r="D123" s="29">
        <f t="shared" si="22"/>
        <v>702.19700100000011</v>
      </c>
      <c r="E123" s="57">
        <f t="shared" si="23"/>
        <v>306.6210497062176</v>
      </c>
      <c r="F123" s="57">
        <f t="shared" si="24"/>
        <v>353.3699176024453</v>
      </c>
      <c r="G123" s="56">
        <f>Tabla5[[#This Row],[Pron Sensibilizado]]-Tabla5[[#This Row],[Pronostico base]]</f>
        <v>46.748867896227694</v>
      </c>
    </row>
    <row r="125" spans="1:7">
      <c r="E125" t="s">
        <v>170</v>
      </c>
      <c r="F125" t="s">
        <v>171</v>
      </c>
      <c r="G125" t="s">
        <v>172</v>
      </c>
    </row>
    <row r="126" spans="1:7">
      <c r="E126" s="2">
        <f>SUM(Tabla5[Pronostico base])</f>
        <v>3078.9778436963934</v>
      </c>
      <c r="F126" s="2">
        <f>SUM(Tabla5[Pron Sensibilizado])</f>
        <v>3292.7841584532339</v>
      </c>
      <c r="G126" s="52">
        <f>SUM(Tabla5[Variación])</f>
        <v>213.80631475684061</v>
      </c>
    </row>
  </sheetData>
  <mergeCells count="2">
    <mergeCell ref="B2:I3"/>
    <mergeCell ref="B107:F108"/>
  </mergeCells>
  <pageMargins left="0.7" right="0.7" top="0.75" bottom="0.75" header="0.3" footer="0.3"/>
  <drawing r:id="rId1"/>
  <tableParts count="6">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53F9-CC09-4BB9-BFFF-D025A8E99D5C}">
  <sheetPr>
    <tabColor theme="9" tint="-0.249977111117893"/>
  </sheetPr>
  <dimension ref="A2:N137"/>
  <sheetViews>
    <sheetView topLeftCell="A16" zoomScale="74" workbookViewId="0">
      <selection activeCell="A21" sqref="A21"/>
    </sheetView>
  </sheetViews>
  <sheetFormatPr defaultColWidth="11.42578125" defaultRowHeight="14.45"/>
  <cols>
    <col min="2" max="2" width="14.140625" customWidth="1"/>
  </cols>
  <sheetData>
    <row r="2" spans="1:14" ht="14.45" customHeight="1">
      <c r="A2" s="96" t="s">
        <v>173</v>
      </c>
      <c r="B2" s="96"/>
      <c r="C2" s="96"/>
      <c r="D2" s="96"/>
      <c r="E2" s="96"/>
      <c r="F2" s="96"/>
      <c r="G2" s="96"/>
      <c r="H2" s="7"/>
      <c r="I2" s="7"/>
      <c r="J2" s="7"/>
      <c r="K2" s="7"/>
      <c r="L2" s="7"/>
      <c r="M2" s="7"/>
      <c r="N2" s="7"/>
    </row>
    <row r="3" spans="1:14" ht="14.45" customHeight="1">
      <c r="A3" s="96"/>
      <c r="B3" s="96"/>
      <c r="C3" s="96"/>
      <c r="D3" s="96"/>
      <c r="E3" s="96"/>
      <c r="F3" s="96"/>
      <c r="G3" s="96"/>
      <c r="H3" s="7"/>
      <c r="I3" s="7"/>
      <c r="J3" s="7"/>
      <c r="K3" s="7"/>
      <c r="L3" s="7"/>
      <c r="M3" s="7"/>
      <c r="N3" s="7"/>
    </row>
    <row r="5" spans="1:14" ht="15">
      <c r="A5" s="4" t="s">
        <v>174</v>
      </c>
      <c r="E5" s="132" t="s">
        <v>175</v>
      </c>
      <c r="F5" s="133">
        <f>MODELOPRONOSTICO!S21</f>
        <v>13.52337849455226</v>
      </c>
      <c r="G5" t="s">
        <v>176</v>
      </c>
    </row>
    <row r="6" spans="1:14">
      <c r="A6" s="3"/>
      <c r="B6" s="2"/>
    </row>
    <row r="7" spans="1:14" ht="16.149999999999999" thickBot="1">
      <c r="A7" s="62" t="s">
        <v>177</v>
      </c>
      <c r="B7" s="62" t="s">
        <v>29</v>
      </c>
      <c r="C7" s="62" t="s">
        <v>32</v>
      </c>
      <c r="D7" s="62" t="s">
        <v>34</v>
      </c>
      <c r="E7" s="62" t="s">
        <v>37</v>
      </c>
      <c r="F7" s="62" t="s">
        <v>40</v>
      </c>
      <c r="G7" s="62" t="s">
        <v>43</v>
      </c>
      <c r="H7" s="62" t="s">
        <v>46</v>
      </c>
      <c r="I7" s="62" t="s">
        <v>49</v>
      </c>
      <c r="J7" s="62" t="s">
        <v>52</v>
      </c>
      <c r="K7" s="62" t="s">
        <v>54</v>
      </c>
      <c r="L7" s="62" t="s">
        <v>57</v>
      </c>
      <c r="M7" s="63" t="s">
        <v>64</v>
      </c>
    </row>
    <row r="8" spans="1:14" ht="15" thickBot="1">
      <c r="A8" s="60" t="s">
        <v>178</v>
      </c>
      <c r="B8" s="6">
        <v>9.16</v>
      </c>
      <c r="C8" s="6">
        <v>10.6</v>
      </c>
      <c r="D8" s="6">
        <v>16.7</v>
      </c>
      <c r="E8" s="6">
        <v>12.7</v>
      </c>
      <c r="F8" s="6">
        <v>6.17</v>
      </c>
      <c r="G8" s="6">
        <v>4.8</v>
      </c>
      <c r="H8" s="6">
        <v>5.41</v>
      </c>
      <c r="I8" s="6">
        <v>7.36</v>
      </c>
      <c r="J8" s="6">
        <v>9.31</v>
      </c>
      <c r="K8" s="6">
        <v>10.42</v>
      </c>
      <c r="L8" s="6">
        <v>9.86</v>
      </c>
      <c r="M8" s="61">
        <v>10.73</v>
      </c>
    </row>
    <row r="9" spans="1:14" ht="28.15" thickBot="1">
      <c r="A9" s="60" t="s">
        <v>179</v>
      </c>
      <c r="B9" s="6">
        <v>4.03</v>
      </c>
      <c r="C9" s="6">
        <v>5.3</v>
      </c>
      <c r="D9" s="6">
        <v>9.1199999999999992</v>
      </c>
      <c r="E9" s="6">
        <v>3.16</v>
      </c>
      <c r="F9" s="6">
        <v>1.79</v>
      </c>
      <c r="G9" s="6">
        <v>1.55</v>
      </c>
      <c r="H9" s="6">
        <v>0.77</v>
      </c>
      <c r="I9" s="6">
        <v>0.46</v>
      </c>
      <c r="J9" s="6">
        <v>0.66</v>
      </c>
      <c r="K9" s="6">
        <v>1.81</v>
      </c>
      <c r="L9" s="6">
        <v>4.17</v>
      </c>
      <c r="M9" s="61">
        <v>5.33</v>
      </c>
    </row>
    <row r="10" spans="1:14" ht="27.6">
      <c r="A10" s="64" t="s">
        <v>180</v>
      </c>
      <c r="B10" s="65">
        <v>14.82</v>
      </c>
      <c r="C10" s="65">
        <v>14.84</v>
      </c>
      <c r="D10" s="65">
        <v>27.58</v>
      </c>
      <c r="E10" s="65">
        <v>18.149999999999999</v>
      </c>
      <c r="F10" s="65">
        <v>8.33</v>
      </c>
      <c r="G10" s="65">
        <v>6.01</v>
      </c>
      <c r="H10" s="65">
        <v>6.18</v>
      </c>
      <c r="I10" s="65">
        <v>7.81</v>
      </c>
      <c r="J10" s="65">
        <v>10.24</v>
      </c>
      <c r="K10" s="65">
        <v>13.91</v>
      </c>
      <c r="L10" s="65">
        <v>17.78</v>
      </c>
      <c r="M10" s="66">
        <v>19.7</v>
      </c>
    </row>
    <row r="11" spans="1:14">
      <c r="A11" s="3"/>
      <c r="B11" s="2"/>
    </row>
    <row r="12" spans="1:14">
      <c r="A12" s="3"/>
      <c r="B12" s="2"/>
    </row>
    <row r="13" spans="1:14" ht="15">
      <c r="A13" s="136" t="s">
        <v>181</v>
      </c>
      <c r="B13" s="2"/>
    </row>
    <row r="14" spans="1:14" ht="15" thickBot="1">
      <c r="A14" s="3"/>
      <c r="B14" s="2"/>
    </row>
    <row r="15" spans="1:14" ht="15.75">
      <c r="A15" s="134" t="s">
        <v>177</v>
      </c>
      <c r="B15" s="135" t="s">
        <v>29</v>
      </c>
      <c r="C15" s="135" t="s">
        <v>32</v>
      </c>
      <c r="D15" s="135" t="s">
        <v>34</v>
      </c>
      <c r="E15" s="135" t="s">
        <v>37</v>
      </c>
      <c r="F15" s="135" t="s">
        <v>40</v>
      </c>
      <c r="G15" s="135" t="s">
        <v>43</v>
      </c>
      <c r="H15" s="135" t="s">
        <v>46</v>
      </c>
      <c r="I15" s="135" t="s">
        <v>49</v>
      </c>
      <c r="J15" s="135" t="s">
        <v>52</v>
      </c>
      <c r="K15" s="135" t="s">
        <v>54</v>
      </c>
      <c r="L15" s="135" t="s">
        <v>57</v>
      </c>
      <c r="M15" s="135" t="s">
        <v>64</v>
      </c>
    </row>
    <row r="16" spans="1:14" ht="15" thickBot="1">
      <c r="A16" s="5" t="s">
        <v>182</v>
      </c>
      <c r="B16" s="6">
        <v>0</v>
      </c>
      <c r="C16" s="6">
        <v>0</v>
      </c>
      <c r="D16" s="6">
        <v>0</v>
      </c>
      <c r="E16" s="6">
        <v>0.09</v>
      </c>
      <c r="F16" s="6">
        <v>2.34</v>
      </c>
      <c r="G16" s="6">
        <v>5.54</v>
      </c>
      <c r="H16" s="6">
        <v>7.28</v>
      </c>
      <c r="I16" s="6">
        <v>7.22</v>
      </c>
      <c r="J16" s="6">
        <v>5.56</v>
      </c>
      <c r="K16" s="6">
        <v>4.24</v>
      </c>
      <c r="L16" s="6">
        <v>2.08</v>
      </c>
      <c r="M16" s="6">
        <v>0.24</v>
      </c>
    </row>
    <row r="17" spans="1:13" ht="15" thickBot="1">
      <c r="A17" s="5" t="s">
        <v>183</v>
      </c>
      <c r="B17" s="6">
        <v>0</v>
      </c>
      <c r="C17" s="6">
        <v>0</v>
      </c>
      <c r="D17" s="6">
        <v>0</v>
      </c>
      <c r="E17" s="6">
        <v>0.22</v>
      </c>
      <c r="F17" s="6">
        <v>1.82</v>
      </c>
      <c r="G17" s="6">
        <v>3.23</v>
      </c>
      <c r="H17" s="6">
        <v>2.12</v>
      </c>
      <c r="I17" s="6">
        <v>1.59</v>
      </c>
      <c r="J17" s="6">
        <v>1.36</v>
      </c>
      <c r="K17" s="6">
        <v>2</v>
      </c>
      <c r="L17" s="6">
        <v>1.61</v>
      </c>
      <c r="M17" s="6">
        <v>0.39</v>
      </c>
    </row>
    <row r="18" spans="1:13" ht="15" thickBot="1">
      <c r="A18" s="5" t="s">
        <v>184</v>
      </c>
      <c r="B18" s="6">
        <v>0</v>
      </c>
      <c r="C18" s="6">
        <v>0</v>
      </c>
      <c r="D18" s="6">
        <v>0</v>
      </c>
      <c r="E18" s="6">
        <v>0.54</v>
      </c>
      <c r="F18" s="6">
        <v>5.92</v>
      </c>
      <c r="G18" s="6">
        <v>11.49</v>
      </c>
      <c r="H18" s="6">
        <v>10.67</v>
      </c>
      <c r="I18" s="6">
        <v>10.17</v>
      </c>
      <c r="J18" s="6">
        <v>8.07</v>
      </c>
      <c r="K18" s="6">
        <v>7.47</v>
      </c>
      <c r="L18" s="6">
        <v>4.82</v>
      </c>
      <c r="M18" s="6">
        <v>0.91</v>
      </c>
    </row>
    <row r="19" spans="1:13">
      <c r="A19" s="3"/>
      <c r="B19" s="2"/>
    </row>
    <row r="20" spans="1:13">
      <c r="A20" s="3"/>
      <c r="B20" s="2"/>
    </row>
    <row r="21" spans="1:13" ht="15">
      <c r="A21" s="136" t="s">
        <v>185</v>
      </c>
      <c r="B21" s="2"/>
    </row>
    <row r="22" spans="1:13" ht="15" thickBot="1">
      <c r="A22" s="3"/>
      <c r="B22" s="2"/>
    </row>
    <row r="23" spans="1:13" ht="15.75">
      <c r="A23" s="134" t="s">
        <v>177</v>
      </c>
      <c r="B23" s="135" t="s">
        <v>29</v>
      </c>
      <c r="C23" s="135" t="s">
        <v>32</v>
      </c>
      <c r="D23" s="135" t="s">
        <v>34</v>
      </c>
      <c r="E23" s="135" t="s">
        <v>37</v>
      </c>
      <c r="F23" s="135" t="s">
        <v>40</v>
      </c>
      <c r="G23" s="135" t="s">
        <v>43</v>
      </c>
      <c r="H23" s="135" t="s">
        <v>46</v>
      </c>
      <c r="I23" s="135" t="s">
        <v>49</v>
      </c>
      <c r="J23" s="135" t="s">
        <v>52</v>
      </c>
      <c r="K23" s="135" t="s">
        <v>54</v>
      </c>
      <c r="L23" s="135" t="s">
        <v>57</v>
      </c>
      <c r="M23" s="135" t="s">
        <v>64</v>
      </c>
    </row>
    <row r="24" spans="1:13" ht="15" thickBot="1">
      <c r="A24" s="5" t="s">
        <v>186</v>
      </c>
      <c r="B24" s="6">
        <v>0.15</v>
      </c>
      <c r="C24" s="6">
        <v>0.13</v>
      </c>
      <c r="D24" s="6">
        <v>0.18</v>
      </c>
      <c r="E24" s="6">
        <v>0.61</v>
      </c>
      <c r="F24" s="6">
        <v>1.56</v>
      </c>
      <c r="G24" s="6">
        <v>1.55</v>
      </c>
      <c r="H24" s="6">
        <v>1.41</v>
      </c>
      <c r="I24" s="6">
        <v>1.53</v>
      </c>
      <c r="J24" s="6">
        <v>0.79</v>
      </c>
      <c r="K24" s="6">
        <v>0.36</v>
      </c>
      <c r="L24" s="6">
        <v>0.38</v>
      </c>
      <c r="M24" s="6">
        <v>0.28000000000000003</v>
      </c>
    </row>
    <row r="25" spans="1:13" ht="15" thickBot="1">
      <c r="A25" s="5" t="s">
        <v>187</v>
      </c>
      <c r="B25" s="6">
        <v>0.2</v>
      </c>
      <c r="C25" s="6">
        <v>0.2</v>
      </c>
      <c r="D25" s="6">
        <v>0.24</v>
      </c>
      <c r="E25" s="6">
        <v>0.24</v>
      </c>
      <c r="F25" s="6">
        <v>0.34</v>
      </c>
      <c r="G25" s="6">
        <v>0.41</v>
      </c>
      <c r="H25" s="6">
        <v>0.31</v>
      </c>
      <c r="I25" s="6">
        <v>0.51</v>
      </c>
      <c r="J25" s="6">
        <v>0.56999999999999995</v>
      </c>
      <c r="K25" s="6">
        <v>0.28000000000000003</v>
      </c>
      <c r="L25" s="6">
        <v>0.3</v>
      </c>
      <c r="M25" s="6">
        <v>0.24</v>
      </c>
    </row>
    <row r="26" spans="1:13" ht="15" thickBot="1">
      <c r="A26" s="5" t="s">
        <v>188</v>
      </c>
      <c r="B26" s="6">
        <v>0.42</v>
      </c>
      <c r="C26" s="6">
        <v>0.4</v>
      </c>
      <c r="D26" s="6">
        <v>0.64</v>
      </c>
      <c r="E26" s="6">
        <v>1.03</v>
      </c>
      <c r="F26" s="6">
        <v>1.99</v>
      </c>
      <c r="G26" s="6">
        <v>2.0499999999999998</v>
      </c>
      <c r="H26" s="6">
        <v>1.93</v>
      </c>
      <c r="I26" s="6">
        <v>1.99</v>
      </c>
      <c r="J26" s="6">
        <v>1.41</v>
      </c>
      <c r="K26" s="6">
        <v>0.69</v>
      </c>
      <c r="L26" s="6">
        <v>0.67</v>
      </c>
      <c r="M26" s="6">
        <v>0.62</v>
      </c>
    </row>
    <row r="27" spans="1:13">
      <c r="A27" s="3"/>
      <c r="B27" s="2"/>
    </row>
    <row r="28" spans="1:13">
      <c r="A28" s="3"/>
      <c r="B28" s="2"/>
    </row>
    <row r="29" spans="1:13">
      <c r="A29" s="3"/>
      <c r="B29" s="2"/>
    </row>
    <row r="30" spans="1:13">
      <c r="A30" s="3"/>
      <c r="B30" s="2"/>
    </row>
    <row r="31" spans="1:13">
      <c r="A31" s="3"/>
      <c r="B31" s="2"/>
    </row>
    <row r="32" spans="1:13" ht="15" thickBot="1">
      <c r="A32" s="3"/>
      <c r="B32" s="2"/>
    </row>
    <row r="33" spans="1:13" ht="15.75">
      <c r="A33" s="134" t="s">
        <v>177</v>
      </c>
      <c r="B33" s="135" t="s">
        <v>29</v>
      </c>
      <c r="C33" s="135" t="s">
        <v>32</v>
      </c>
      <c r="D33" s="135" t="s">
        <v>34</v>
      </c>
      <c r="E33" s="135" t="s">
        <v>37</v>
      </c>
      <c r="F33" s="135" t="s">
        <v>40</v>
      </c>
      <c r="G33" s="135" t="s">
        <v>43</v>
      </c>
      <c r="H33" s="135" t="s">
        <v>46</v>
      </c>
      <c r="I33" s="135" t="s">
        <v>49</v>
      </c>
      <c r="J33" s="135" t="s">
        <v>52</v>
      </c>
      <c r="K33" s="135" t="s">
        <v>54</v>
      </c>
      <c r="L33" s="135" t="s">
        <v>57</v>
      </c>
      <c r="M33" s="135" t="s">
        <v>64</v>
      </c>
    </row>
    <row r="34" spans="1:13" ht="16.149999999999999" thickBot="1">
      <c r="A34" s="8" t="s">
        <v>189</v>
      </c>
      <c r="B34" s="9">
        <f>SQRT(($F$5^2)+(B9^2)+(B17^2)+(B25^2))</f>
        <v>14.112500342140599</v>
      </c>
      <c r="C34" s="9">
        <f>SQRT(($F$5^2)+(C9^2)+(C17^2)+(C25^2))</f>
        <v>14.52624403990648</v>
      </c>
      <c r="D34" s="9">
        <f>SQRT(($F$5^2)+(D9^2)+(D17^2)+(D25^2))</f>
        <v>16.312993775114318</v>
      </c>
      <c r="E34" s="9">
        <f t="shared" ref="E34:M34" si="0">SQRT(($F$5^2)+(E9^2)+(E17^2)+(E25^2))</f>
        <v>13.891485374390982</v>
      </c>
      <c r="F34" s="9">
        <f t="shared" si="0"/>
        <v>13.76640352114228</v>
      </c>
      <c r="G34" s="9">
        <f t="shared" si="0"/>
        <v>13.99590175397493</v>
      </c>
      <c r="H34" s="9">
        <f>SQRT(($F$5^2)+(H9^2)+(H17^2)+(H25^2))</f>
        <v>13.713685351025031</v>
      </c>
      <c r="I34" s="9">
        <f t="shared" si="0"/>
        <v>13.633839001063439</v>
      </c>
      <c r="J34" s="9">
        <f t="shared" si="0"/>
        <v>13.619539856651492</v>
      </c>
      <c r="K34" s="9">
        <f t="shared" si="0"/>
        <v>13.792616354663046</v>
      </c>
      <c r="L34" s="9">
        <f t="shared" si="0"/>
        <v>14.246149160629988</v>
      </c>
      <c r="M34" s="9">
        <f t="shared" si="0"/>
        <v>14.543052152382543</v>
      </c>
    </row>
    <row r="35" spans="1:13">
      <c r="A35" s="3"/>
      <c r="B35" s="2"/>
    </row>
    <row r="36" spans="1:13">
      <c r="A36" s="3"/>
    </row>
    <row r="37" spans="1:13">
      <c r="A37" s="3"/>
    </row>
    <row r="38" spans="1:13">
      <c r="A38" s="3"/>
      <c r="B38" s="2"/>
    </row>
    <row r="39" spans="1:13">
      <c r="A39" s="3"/>
      <c r="B39" s="2"/>
    </row>
    <row r="40" spans="1:13">
      <c r="A40" s="3"/>
      <c r="B40" s="2"/>
    </row>
    <row r="41" spans="1:13">
      <c r="A41" s="3"/>
      <c r="B41" s="2"/>
    </row>
    <row r="42" spans="1:13">
      <c r="A42" s="3"/>
      <c r="B42" s="2"/>
    </row>
    <row r="43" spans="1:13">
      <c r="A43" s="3"/>
      <c r="B43" s="2"/>
    </row>
    <row r="44" spans="1:13">
      <c r="A44" s="3"/>
      <c r="B44" s="2"/>
    </row>
    <row r="45" spans="1:13">
      <c r="A45" s="3"/>
      <c r="B45" s="2"/>
    </row>
    <row r="46" spans="1:13">
      <c r="A46" s="3"/>
      <c r="B46" s="2"/>
    </row>
    <row r="47" spans="1:13">
      <c r="A47" s="3"/>
      <c r="B47" s="2"/>
    </row>
    <row r="48" spans="1:13">
      <c r="A48" s="3"/>
      <c r="B48" s="2"/>
    </row>
    <row r="49" spans="1:2">
      <c r="A49" s="3"/>
      <c r="B49" s="2"/>
    </row>
    <row r="50" spans="1:2">
      <c r="A50" s="3"/>
      <c r="B50" s="2"/>
    </row>
    <row r="51" spans="1:2">
      <c r="A51" s="3"/>
      <c r="B51" s="2"/>
    </row>
    <row r="52" spans="1:2">
      <c r="A52" s="3"/>
      <c r="B52" s="2"/>
    </row>
    <row r="53" spans="1:2">
      <c r="A53" s="3"/>
      <c r="B53" s="2"/>
    </row>
    <row r="54" spans="1:2">
      <c r="A54" s="3"/>
      <c r="B54" s="2"/>
    </row>
    <row r="55" spans="1:2">
      <c r="A55" s="3"/>
      <c r="B55" s="2"/>
    </row>
    <row r="56" spans="1:2">
      <c r="A56" s="3"/>
      <c r="B56" s="2"/>
    </row>
    <row r="57" spans="1:2">
      <c r="A57" s="3"/>
      <c r="B57" s="2"/>
    </row>
    <row r="58" spans="1:2">
      <c r="A58" s="3"/>
      <c r="B58" s="2"/>
    </row>
    <row r="59" spans="1:2">
      <c r="A59" s="3"/>
      <c r="B59" s="2"/>
    </row>
    <row r="60" spans="1:2">
      <c r="A60" s="3"/>
      <c r="B60" s="2"/>
    </row>
    <row r="61" spans="1:2">
      <c r="A61" s="3"/>
      <c r="B61" s="2"/>
    </row>
    <row r="62" spans="1:2">
      <c r="A62" s="3"/>
      <c r="B62" s="2"/>
    </row>
    <row r="63" spans="1:2">
      <c r="A63" s="3"/>
      <c r="B63" s="2"/>
    </row>
    <row r="64" spans="1:2">
      <c r="A64" s="3"/>
      <c r="B64" s="2"/>
    </row>
    <row r="65" spans="1:2">
      <c r="A65" s="3"/>
      <c r="B65" s="2"/>
    </row>
    <row r="66" spans="1:2">
      <c r="A66" s="3"/>
      <c r="B66" s="2"/>
    </row>
    <row r="67" spans="1:2">
      <c r="A67" s="3"/>
      <c r="B67" s="2"/>
    </row>
    <row r="68" spans="1:2">
      <c r="A68" s="3"/>
      <c r="B68" s="2"/>
    </row>
    <row r="69" spans="1:2">
      <c r="A69" s="3"/>
      <c r="B69" s="2"/>
    </row>
    <row r="70" spans="1:2">
      <c r="A70" s="3"/>
      <c r="B70" s="2"/>
    </row>
    <row r="71" spans="1:2">
      <c r="A71" s="3"/>
      <c r="B71" s="2"/>
    </row>
    <row r="72" spans="1:2">
      <c r="A72" s="3"/>
      <c r="B72" s="2"/>
    </row>
    <row r="73" spans="1:2">
      <c r="A73" s="3"/>
      <c r="B73" s="2"/>
    </row>
    <row r="74" spans="1:2">
      <c r="A74" s="3"/>
      <c r="B74" s="2"/>
    </row>
    <row r="75" spans="1:2">
      <c r="A75" s="3"/>
      <c r="B75" s="2"/>
    </row>
    <row r="76" spans="1:2">
      <c r="A76" s="3"/>
      <c r="B76" s="2"/>
    </row>
    <row r="77" spans="1:2">
      <c r="A77" s="3"/>
      <c r="B77" s="2"/>
    </row>
    <row r="78" spans="1:2">
      <c r="A78" s="3"/>
      <c r="B78" s="2"/>
    </row>
    <row r="79" spans="1:2">
      <c r="A79" s="3"/>
      <c r="B79" s="2"/>
    </row>
    <row r="80" spans="1:2">
      <c r="A80" s="3"/>
      <c r="B80" s="2"/>
    </row>
    <row r="81" spans="1:2">
      <c r="A81" s="3"/>
      <c r="B81" s="2"/>
    </row>
    <row r="82" spans="1:2">
      <c r="A82" s="3"/>
      <c r="B82" s="2"/>
    </row>
    <row r="83" spans="1:2">
      <c r="A83" s="3"/>
      <c r="B83" s="2"/>
    </row>
    <row r="84" spans="1:2">
      <c r="A84" s="3"/>
      <c r="B84" s="2"/>
    </row>
    <row r="85" spans="1:2">
      <c r="A85" s="3"/>
      <c r="B85" s="2"/>
    </row>
    <row r="86" spans="1:2">
      <c r="A86" s="3"/>
      <c r="B86" s="2"/>
    </row>
    <row r="87" spans="1:2">
      <c r="A87" s="3"/>
      <c r="B87" s="2"/>
    </row>
    <row r="88" spans="1:2">
      <c r="A88" s="3"/>
      <c r="B88" s="2"/>
    </row>
    <row r="89" spans="1:2">
      <c r="A89" s="3"/>
      <c r="B89" s="2"/>
    </row>
    <row r="90" spans="1:2">
      <c r="A90" s="3"/>
      <c r="B90" s="2"/>
    </row>
    <row r="91" spans="1:2">
      <c r="A91" s="3"/>
      <c r="B91" s="2"/>
    </row>
    <row r="92" spans="1:2">
      <c r="A92" s="3"/>
      <c r="B92" s="2"/>
    </row>
    <row r="93" spans="1:2">
      <c r="A93" s="3"/>
      <c r="B93" s="2"/>
    </row>
    <row r="94" spans="1:2">
      <c r="A94" s="3"/>
      <c r="B94" s="2"/>
    </row>
    <row r="95" spans="1:2">
      <c r="A95" s="3"/>
      <c r="B95" s="2"/>
    </row>
    <row r="96" spans="1:2">
      <c r="A96" s="3"/>
      <c r="B96" s="2"/>
    </row>
    <row r="97" spans="1:2">
      <c r="A97" s="3"/>
      <c r="B97" s="2"/>
    </row>
    <row r="98" spans="1:2">
      <c r="A98" s="3"/>
      <c r="B98" s="2"/>
    </row>
    <row r="99" spans="1:2">
      <c r="A99" s="3"/>
      <c r="B99" s="2"/>
    </row>
    <row r="100" spans="1:2">
      <c r="A100" s="3"/>
      <c r="B100" s="2"/>
    </row>
    <row r="101" spans="1:2">
      <c r="A101" s="3"/>
      <c r="B101" s="2"/>
    </row>
    <row r="102" spans="1:2">
      <c r="A102" s="3"/>
      <c r="B102" s="2"/>
    </row>
    <row r="103" spans="1:2">
      <c r="A103" s="3"/>
      <c r="B103" s="2"/>
    </row>
    <row r="104" spans="1:2">
      <c r="A104" s="3"/>
      <c r="B104" s="2"/>
    </row>
    <row r="105" spans="1:2">
      <c r="A105" s="3"/>
      <c r="B105" s="2"/>
    </row>
    <row r="106" spans="1:2">
      <c r="A106" s="3"/>
      <c r="B106" s="2"/>
    </row>
    <row r="107" spans="1:2">
      <c r="A107" s="3"/>
      <c r="B107" s="2"/>
    </row>
    <row r="108" spans="1:2">
      <c r="A108" s="3"/>
      <c r="B108" s="2"/>
    </row>
    <row r="109" spans="1:2">
      <c r="A109" s="3"/>
      <c r="B109" s="2"/>
    </row>
    <row r="110" spans="1:2">
      <c r="A110" s="3"/>
      <c r="B110" s="2"/>
    </row>
    <row r="111" spans="1:2">
      <c r="A111" s="3"/>
      <c r="B111" s="2"/>
    </row>
    <row r="112" spans="1:2">
      <c r="A112" s="3"/>
      <c r="B112" s="2"/>
    </row>
    <row r="113" spans="1:2">
      <c r="A113" s="3"/>
      <c r="B113" s="2"/>
    </row>
    <row r="114" spans="1:2">
      <c r="A114" s="3"/>
      <c r="B114" s="2"/>
    </row>
    <row r="115" spans="1:2">
      <c r="A115" s="3"/>
      <c r="B115" s="2"/>
    </row>
    <row r="116" spans="1:2">
      <c r="A116" s="3"/>
      <c r="B116" s="2"/>
    </row>
    <row r="117" spans="1:2">
      <c r="A117" s="3"/>
      <c r="B117" s="2"/>
    </row>
    <row r="118" spans="1:2">
      <c r="A118" s="3"/>
      <c r="B118" s="2"/>
    </row>
    <row r="119" spans="1:2">
      <c r="A119" s="3"/>
      <c r="B119" s="2"/>
    </row>
    <row r="120" spans="1:2">
      <c r="A120" s="3"/>
      <c r="B120" s="2"/>
    </row>
    <row r="121" spans="1:2">
      <c r="A121" s="3"/>
      <c r="B121" s="2"/>
    </row>
    <row r="122" spans="1:2">
      <c r="A122" s="3"/>
      <c r="B122" s="2"/>
    </row>
    <row r="123" spans="1:2">
      <c r="A123" s="3"/>
      <c r="B123" s="2"/>
    </row>
    <row r="124" spans="1:2">
      <c r="A124" s="3"/>
      <c r="B124" s="2"/>
    </row>
    <row r="125" spans="1:2">
      <c r="A125" s="3"/>
      <c r="B125" s="2"/>
    </row>
    <row r="126" spans="1:2">
      <c r="A126" s="3"/>
      <c r="B126" s="2"/>
    </row>
    <row r="127" spans="1:2">
      <c r="A127" s="3"/>
      <c r="B127" s="2"/>
    </row>
    <row r="128" spans="1:2">
      <c r="A128" s="3"/>
      <c r="B128" s="2"/>
    </row>
    <row r="129" spans="1:2">
      <c r="A129" s="3"/>
      <c r="B129" s="2"/>
    </row>
    <row r="130" spans="1:2">
      <c r="A130" s="3"/>
      <c r="B130" s="2"/>
    </row>
    <row r="131" spans="1:2">
      <c r="A131" s="3"/>
      <c r="B131" s="2"/>
    </row>
    <row r="132" spans="1:2">
      <c r="A132" s="3"/>
      <c r="B132" s="2"/>
    </row>
    <row r="133" spans="1:2">
      <c r="A133" s="3"/>
      <c r="B133" s="2"/>
    </row>
    <row r="134" spans="1:2">
      <c r="A134" s="3"/>
      <c r="B134" s="2"/>
    </row>
    <row r="135" spans="1:2">
      <c r="A135" s="3"/>
      <c r="B135" s="2"/>
    </row>
    <row r="136" spans="1:2">
      <c r="A136" s="3"/>
      <c r="B136" s="2"/>
    </row>
    <row r="137" spans="1:2">
      <c r="A137" s="3"/>
      <c r="B137" s="2"/>
    </row>
  </sheetData>
  <mergeCells count="1">
    <mergeCell ref="A2:G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9944-DF50-46C3-A0D5-4DE780A59327}">
  <sheetPr>
    <tabColor theme="9" tint="-0.249977111117893"/>
  </sheetPr>
  <dimension ref="A2:M31"/>
  <sheetViews>
    <sheetView topLeftCell="A23" zoomScale="76" workbookViewId="0">
      <selection activeCell="J17" sqref="J17"/>
    </sheetView>
  </sheetViews>
  <sheetFormatPr defaultColWidth="11.42578125" defaultRowHeight="14.45"/>
  <cols>
    <col min="1" max="1" width="16.28515625" customWidth="1"/>
  </cols>
  <sheetData>
    <row r="2" spans="1:13">
      <c r="A2" s="97" t="s">
        <v>190</v>
      </c>
      <c r="B2" s="97"/>
      <c r="C2" s="97"/>
      <c r="D2" s="97"/>
      <c r="E2" s="97"/>
      <c r="F2" s="97"/>
      <c r="G2" s="97"/>
    </row>
    <row r="3" spans="1:13">
      <c r="A3" s="97"/>
      <c r="B3" s="97"/>
      <c r="C3" s="97"/>
      <c r="D3" s="97"/>
      <c r="E3" s="97"/>
      <c r="F3" s="97"/>
      <c r="G3" s="97"/>
    </row>
    <row r="4" spans="1:13" ht="15" thickBot="1"/>
    <row r="5" spans="1:13" ht="15.6" thickTop="1" thickBot="1">
      <c r="A5" s="13" t="s">
        <v>191</v>
      </c>
      <c r="B5" s="11">
        <v>1500000</v>
      </c>
      <c r="C5" s="12" t="s">
        <v>192</v>
      </c>
    </row>
    <row r="6" spans="1:13" ht="15" thickTop="1">
      <c r="A6" s="10"/>
    </row>
    <row r="7" spans="1:13">
      <c r="A7" t="s">
        <v>193</v>
      </c>
      <c r="B7" t="s">
        <v>194</v>
      </c>
    </row>
    <row r="8" spans="1:13" ht="16.149999999999999" thickBot="1">
      <c r="A8" s="70" t="s">
        <v>193</v>
      </c>
      <c r="B8" s="71" t="s">
        <v>29</v>
      </c>
      <c r="C8" s="71" t="s">
        <v>32</v>
      </c>
      <c r="D8" s="71" t="s">
        <v>34</v>
      </c>
      <c r="E8" s="71" t="s">
        <v>37</v>
      </c>
      <c r="F8" s="71" t="s">
        <v>40</v>
      </c>
      <c r="G8" s="71" t="s">
        <v>43</v>
      </c>
      <c r="H8" s="71" t="s">
        <v>46</v>
      </c>
      <c r="I8" s="71" t="s">
        <v>49</v>
      </c>
      <c r="J8" s="71" t="s">
        <v>52</v>
      </c>
      <c r="K8" s="71" t="s">
        <v>54</v>
      </c>
      <c r="L8" s="71" t="s">
        <v>57</v>
      </c>
      <c r="M8" s="72" t="s">
        <v>64</v>
      </c>
    </row>
    <row r="9" spans="1:13" ht="15.6">
      <c r="A9" s="73" t="s">
        <v>195</v>
      </c>
      <c r="B9" s="74">
        <v>71900</v>
      </c>
      <c r="C9" s="74">
        <v>70730</v>
      </c>
      <c r="D9" s="74">
        <v>70720</v>
      </c>
      <c r="E9" s="74">
        <v>70470</v>
      </c>
      <c r="F9" s="74">
        <v>85650</v>
      </c>
      <c r="G9" s="74">
        <v>97070</v>
      </c>
      <c r="H9" s="74">
        <v>93790</v>
      </c>
      <c r="I9" s="74">
        <v>82330</v>
      </c>
      <c r="J9" s="74">
        <v>76310</v>
      </c>
      <c r="K9" s="74">
        <v>65670</v>
      </c>
      <c r="L9" s="74">
        <v>61670</v>
      </c>
      <c r="M9" s="75">
        <v>56630</v>
      </c>
    </row>
    <row r="10" spans="1:13" ht="15" thickBot="1"/>
    <row r="11" spans="1:13" ht="15.6" thickTop="1" thickBot="1">
      <c r="A11" s="13" t="s">
        <v>196</v>
      </c>
      <c r="B11" s="15">
        <v>1388.89</v>
      </c>
      <c r="C11" s="14" t="s">
        <v>192</v>
      </c>
    </row>
    <row r="12" spans="1:13" ht="15" thickTop="1"/>
    <row r="25" spans="1:13" ht="15" thickBot="1">
      <c r="A25" s="77" t="s">
        <v>197</v>
      </c>
      <c r="B25" s="78" t="s">
        <v>29</v>
      </c>
      <c r="C25" s="78" t="s">
        <v>32</v>
      </c>
      <c r="D25" s="78" t="s">
        <v>34</v>
      </c>
      <c r="E25" s="78" t="s">
        <v>37</v>
      </c>
      <c r="F25" s="78" t="s">
        <v>40</v>
      </c>
      <c r="G25" s="78" t="s">
        <v>43</v>
      </c>
      <c r="H25" s="78" t="s">
        <v>46</v>
      </c>
      <c r="I25" s="78" t="s">
        <v>49</v>
      </c>
      <c r="J25" s="78" t="s">
        <v>52</v>
      </c>
      <c r="K25" s="78" t="s">
        <v>54</v>
      </c>
      <c r="L25" s="78" t="s">
        <v>57</v>
      </c>
      <c r="M25" s="78" t="s">
        <v>64</v>
      </c>
    </row>
    <row r="26" spans="1:13" ht="15" thickBot="1">
      <c r="A26" s="76" t="s">
        <v>198</v>
      </c>
      <c r="B26" s="16">
        <v>71900</v>
      </c>
      <c r="C26" s="16">
        <v>70730</v>
      </c>
      <c r="D26" s="16">
        <v>70720</v>
      </c>
      <c r="E26" s="16">
        <v>70470</v>
      </c>
      <c r="F26" s="16">
        <v>85650</v>
      </c>
      <c r="G26" s="16">
        <v>97070</v>
      </c>
      <c r="H26" s="16">
        <v>93790</v>
      </c>
      <c r="I26" s="16">
        <v>82330</v>
      </c>
      <c r="J26" s="16">
        <v>76310</v>
      </c>
      <c r="K26" s="16">
        <v>65670</v>
      </c>
      <c r="L26" s="16">
        <v>61670</v>
      </c>
      <c r="M26" s="16">
        <v>56630</v>
      </c>
    </row>
    <row r="27" spans="1:13" ht="15" thickBot="1">
      <c r="A27" s="76" t="s">
        <v>189</v>
      </c>
      <c r="B27" s="9">
        <f>DemandaERenovables!B34</f>
        <v>14.112500342140599</v>
      </c>
      <c r="C27" s="9">
        <f>DemandaERenovables!C34</f>
        <v>14.52624403990648</v>
      </c>
      <c r="D27" s="9">
        <f>DemandaERenovables!D34</f>
        <v>16.312993775114318</v>
      </c>
      <c r="E27" s="9">
        <f>DemandaERenovables!E34</f>
        <v>13.891485374390982</v>
      </c>
      <c r="F27" s="9">
        <f>DemandaERenovables!F34</f>
        <v>13.76640352114228</v>
      </c>
      <c r="G27" s="9">
        <f>DemandaERenovables!G34</f>
        <v>13.99590175397493</v>
      </c>
      <c r="H27" s="9">
        <f>DemandaERenovables!H34</f>
        <v>13.713685351025031</v>
      </c>
      <c r="I27" s="9">
        <f>DemandaERenovables!I34</f>
        <v>13.633839001063439</v>
      </c>
      <c r="J27" s="9">
        <f>DemandaERenovables!J34</f>
        <v>13.619539856651492</v>
      </c>
      <c r="K27" s="9">
        <f>DemandaERenovables!K34</f>
        <v>13.792616354663046</v>
      </c>
      <c r="L27" s="9">
        <f>DemandaERenovables!L34</f>
        <v>14.246149160629988</v>
      </c>
      <c r="M27" s="9">
        <f>DemandaERenovables!M34</f>
        <v>14.543052152382543</v>
      </c>
    </row>
    <row r="28" spans="1:13" ht="15" thickBot="1">
      <c r="A28" s="76" t="s">
        <v>199</v>
      </c>
      <c r="B28" s="16">
        <f>$B$5-B26</f>
        <v>1428100</v>
      </c>
      <c r="C28" s="16">
        <f>$B$5-C26</f>
        <v>1429270</v>
      </c>
      <c r="D28" s="16">
        <f t="shared" ref="D28:M28" si="0">$B$5-D26</f>
        <v>1429280</v>
      </c>
      <c r="E28" s="16">
        <f t="shared" si="0"/>
        <v>1429530</v>
      </c>
      <c r="F28" s="16">
        <f t="shared" si="0"/>
        <v>1414350</v>
      </c>
      <c r="G28" s="16">
        <f t="shared" si="0"/>
        <v>1402930</v>
      </c>
      <c r="H28" s="16">
        <f t="shared" si="0"/>
        <v>1406210</v>
      </c>
      <c r="I28" s="16">
        <f t="shared" si="0"/>
        <v>1417670</v>
      </c>
      <c r="J28" s="16">
        <f t="shared" si="0"/>
        <v>1423690</v>
      </c>
      <c r="K28" s="16">
        <f t="shared" si="0"/>
        <v>1434330</v>
      </c>
      <c r="L28" s="16">
        <f t="shared" si="0"/>
        <v>1438330</v>
      </c>
      <c r="M28" s="16">
        <f t="shared" si="0"/>
        <v>1443370</v>
      </c>
    </row>
    <row r="29" spans="1:13" ht="15" thickBot="1">
      <c r="A29" s="76" t="s">
        <v>200</v>
      </c>
      <c r="B29" s="16">
        <f>B28/(B28+$B$11)</f>
        <v>0.99902840098323542</v>
      </c>
      <c r="C29" s="16">
        <f t="shared" ref="C29:M29" si="1">C28/(C28+$B$11)</f>
        <v>0.99902919556177372</v>
      </c>
      <c r="D29" s="16">
        <f t="shared" si="1"/>
        <v>0.99902920234744186</v>
      </c>
      <c r="E29" s="16">
        <f t="shared" si="1"/>
        <v>0.99902937195832264</v>
      </c>
      <c r="F29" s="16">
        <f t="shared" si="1"/>
        <v>0.99901896457757133</v>
      </c>
      <c r="G29" s="16">
        <f t="shared" si="1"/>
        <v>0.99901098674247701</v>
      </c>
      <c r="H29" s="16">
        <f t="shared" si="1"/>
        <v>0.99901329135035055</v>
      </c>
      <c r="I29" s="16">
        <f t="shared" si="1"/>
        <v>0.99902125978718204</v>
      </c>
      <c r="J29" s="16">
        <f t="shared" si="1"/>
        <v>0.99902539430641635</v>
      </c>
      <c r="K29" s="16">
        <f t="shared" si="1"/>
        <v>0.99903261703271184</v>
      </c>
      <c r="L29" s="16">
        <f t="shared" si="1"/>
        <v>0.99903530473230095</v>
      </c>
      <c r="M29" s="16">
        <f t="shared" si="1"/>
        <v>0.99903867004410685</v>
      </c>
    </row>
    <row r="30" spans="1:13" ht="15" thickBot="1">
      <c r="A30" s="76" t="s">
        <v>201</v>
      </c>
      <c r="B30" s="16">
        <f>NORMSINV(B29)</f>
        <v>3.098779164685709</v>
      </c>
      <c r="C30" s="16">
        <f t="shared" ref="C30:M30" si="2">NORMSINV(C29)</f>
        <v>3.0990215640910406</v>
      </c>
      <c r="D30" s="16">
        <f t="shared" si="2"/>
        <v>3.0990236349563651</v>
      </c>
      <c r="E30" s="16">
        <f t="shared" si="2"/>
        <v>3.099075401501219</v>
      </c>
      <c r="F30" s="16">
        <f t="shared" si="2"/>
        <v>3.0959142636673889</v>
      </c>
      <c r="G30" s="16">
        <f t="shared" si="2"/>
        <v>3.0935118528719667</v>
      </c>
      <c r="H30" s="16">
        <f t="shared" si="2"/>
        <v>3.0942040199505212</v>
      </c>
      <c r="I30" s="16">
        <f t="shared" si="2"/>
        <v>3.0966087553605761</v>
      </c>
      <c r="J30" s="16">
        <f t="shared" si="2"/>
        <v>3.0978635722687131</v>
      </c>
      <c r="K30" s="16">
        <f t="shared" si="2"/>
        <v>3.1000674261247383</v>
      </c>
      <c r="L30" s="16">
        <f t="shared" si="2"/>
        <v>3.1008913764183745</v>
      </c>
      <c r="M30" s="16">
        <f t="shared" si="2"/>
        <v>3.1019260349694542</v>
      </c>
    </row>
    <row r="31" spans="1:13">
      <c r="A31" s="79" t="s">
        <v>202</v>
      </c>
      <c r="B31" s="80">
        <f>B30*B27</f>
        <v>43.73152202184523</v>
      </c>
      <c r="C31" s="80">
        <f t="shared" ref="C31:M31" si="3">C30*C27</f>
        <v>45.017143524919135</v>
      </c>
      <c r="D31" s="80">
        <f t="shared" si="3"/>
        <v>50.55435326597533</v>
      </c>
      <c r="E31" s="80">
        <f t="shared" si="3"/>
        <v>43.050760614089043</v>
      </c>
      <c r="F31" s="80">
        <f t="shared" si="3"/>
        <v>42.619605020505354</v>
      </c>
      <c r="G31" s="80">
        <f t="shared" si="3"/>
        <v>43.296487967552999</v>
      </c>
      <c r="H31" s="80">
        <f t="shared" si="3"/>
        <v>42.432940341478229</v>
      </c>
      <c r="I31" s="80">
        <f t="shared" si="3"/>
        <v>42.218665219869536</v>
      </c>
      <c r="J31" s="80">
        <f t="shared" si="3"/>
        <v>42.191476392982509</v>
      </c>
      <c r="K31" s="80">
        <f t="shared" si="3"/>
        <v>42.758040682126243</v>
      </c>
      <c r="L31" s="80">
        <f t="shared" si="3"/>
        <v>44.175761079367398</v>
      </c>
      <c r="M31" s="80">
        <f t="shared" si="3"/>
        <v>45.111472099393971</v>
      </c>
    </row>
  </sheetData>
  <mergeCells count="1">
    <mergeCell ref="A2:G3"/>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DED9-6D1D-405D-8CFF-2196C369FF34}">
  <sheetPr>
    <tabColor theme="9" tint="-0.249977111117893"/>
  </sheetPr>
  <dimension ref="A2:G22"/>
  <sheetViews>
    <sheetView topLeftCell="A9" zoomScale="84" workbookViewId="0">
      <selection activeCell="B8" sqref="B8"/>
    </sheetView>
  </sheetViews>
  <sheetFormatPr defaultColWidth="11.42578125" defaultRowHeight="15" customHeight="1"/>
  <cols>
    <col min="1" max="1" width="45.7109375" customWidth="1"/>
    <col min="2" max="2" width="14.85546875" customWidth="1"/>
    <col min="3" max="3" width="14.140625" customWidth="1"/>
    <col min="4" max="4" width="18.28515625" customWidth="1"/>
    <col min="5" max="5" width="18.7109375" customWidth="1"/>
  </cols>
  <sheetData>
    <row r="2" spans="1:7">
      <c r="A2" s="96" t="s">
        <v>203</v>
      </c>
      <c r="B2" s="96"/>
      <c r="C2" s="96"/>
      <c r="D2" s="96"/>
      <c r="E2" s="96"/>
      <c r="F2" s="96"/>
      <c r="G2" s="96"/>
    </row>
    <row r="3" spans="1:7">
      <c r="A3" s="96"/>
      <c r="B3" s="96"/>
      <c r="C3" s="96"/>
      <c r="D3" s="96"/>
      <c r="E3" s="96"/>
      <c r="F3" s="96"/>
      <c r="G3" s="96"/>
    </row>
    <row r="5" spans="1:7" ht="24" customHeight="1">
      <c r="A5" t="s">
        <v>204</v>
      </c>
      <c r="B5" t="s">
        <v>27</v>
      </c>
      <c r="C5" t="s">
        <v>205</v>
      </c>
      <c r="D5" t="s">
        <v>206</v>
      </c>
      <c r="E5" t="s">
        <v>207</v>
      </c>
    </row>
    <row r="6" spans="1:7">
      <c r="A6" s="137" t="s">
        <v>208</v>
      </c>
      <c r="B6" s="137">
        <v>1500</v>
      </c>
      <c r="C6" s="137" t="s">
        <v>209</v>
      </c>
      <c r="D6" s="137">
        <v>1500000</v>
      </c>
      <c r="E6" s="137" t="s">
        <v>210</v>
      </c>
      <c r="F6" t="s">
        <v>211</v>
      </c>
    </row>
    <row r="7" spans="1:7">
      <c r="A7" s="137" t="s">
        <v>212</v>
      </c>
      <c r="B7" s="137">
        <v>1000</v>
      </c>
      <c r="C7" s="137" t="s">
        <v>213</v>
      </c>
      <c r="D7" s="137" t="s">
        <v>214</v>
      </c>
      <c r="E7" s="137" t="s">
        <v>214</v>
      </c>
      <c r="F7" t="s">
        <v>215</v>
      </c>
    </row>
    <row r="8" spans="1:7">
      <c r="A8" s="137" t="s">
        <v>216</v>
      </c>
      <c r="B8" s="137">
        <v>720</v>
      </c>
      <c r="C8" s="137" t="s">
        <v>217</v>
      </c>
      <c r="D8" s="137" t="s">
        <v>214</v>
      </c>
      <c r="E8" s="137" t="s">
        <v>214</v>
      </c>
      <c r="F8" t="s">
        <v>218</v>
      </c>
    </row>
    <row r="9" spans="1:7">
      <c r="A9" s="137" t="s">
        <v>219</v>
      </c>
      <c r="B9" s="137">
        <v>3.5000000000000003E-2</v>
      </c>
      <c r="C9" s="137" t="s">
        <v>220</v>
      </c>
      <c r="D9" s="137" t="s">
        <v>214</v>
      </c>
      <c r="E9" s="137" t="s">
        <v>214</v>
      </c>
      <c r="F9" t="s">
        <v>221</v>
      </c>
    </row>
    <row r="10" spans="1:7">
      <c r="A10" s="137" t="s">
        <v>222</v>
      </c>
      <c r="B10" s="137">
        <v>1150</v>
      </c>
      <c r="C10" s="137" t="s">
        <v>223</v>
      </c>
      <c r="D10" s="137" t="s">
        <v>214</v>
      </c>
      <c r="E10" s="137" t="s">
        <v>214</v>
      </c>
      <c r="F10" t="s">
        <v>224</v>
      </c>
    </row>
    <row r="11" spans="1:7">
      <c r="A11" s="137" t="s">
        <v>225</v>
      </c>
      <c r="B11" s="137">
        <v>0.97</v>
      </c>
      <c r="C11" s="137" t="s">
        <v>226</v>
      </c>
      <c r="D11" s="137" t="s">
        <v>214</v>
      </c>
      <c r="E11" s="137" t="s">
        <v>214</v>
      </c>
      <c r="F11" t="s">
        <v>227</v>
      </c>
    </row>
    <row r="12" spans="1:7">
      <c r="A12" s="137" t="s">
        <v>228</v>
      </c>
      <c r="B12" s="137">
        <v>101.93</v>
      </c>
      <c r="C12" s="137" t="s">
        <v>209</v>
      </c>
      <c r="D12" s="137">
        <v>101930</v>
      </c>
      <c r="E12" s="137" t="s">
        <v>210</v>
      </c>
      <c r="F12" t="s">
        <v>229</v>
      </c>
    </row>
    <row r="13" spans="1:7">
      <c r="A13" s="137" t="s">
        <v>230</v>
      </c>
      <c r="B13" s="137">
        <v>124.37</v>
      </c>
      <c r="C13" s="137" t="s">
        <v>209</v>
      </c>
      <c r="D13" s="137">
        <v>124370</v>
      </c>
      <c r="E13" s="137" t="s">
        <v>210</v>
      </c>
      <c r="F13" t="s">
        <v>231</v>
      </c>
    </row>
    <row r="14" spans="1:7">
      <c r="A14" s="137" t="s">
        <v>232</v>
      </c>
      <c r="B14" s="137">
        <v>159.41999999999999</v>
      </c>
      <c r="C14" s="137" t="s">
        <v>209</v>
      </c>
      <c r="D14" s="137">
        <v>159420</v>
      </c>
      <c r="E14" s="137" t="s">
        <v>210</v>
      </c>
      <c r="F14" t="s">
        <v>233</v>
      </c>
    </row>
    <row r="15" spans="1:7">
      <c r="A15" s="137" t="s">
        <v>234</v>
      </c>
      <c r="B15" s="137">
        <f>MODELOPRONOSTICO!S21</f>
        <v>13.52337849455226</v>
      </c>
      <c r="C15" s="137" t="s">
        <v>235</v>
      </c>
      <c r="D15" s="137" t="s">
        <v>236</v>
      </c>
      <c r="E15" s="137" t="s">
        <v>236</v>
      </c>
      <c r="F15" t="s">
        <v>237</v>
      </c>
    </row>
    <row r="16" spans="1:7">
      <c r="A16" s="137" t="s">
        <v>238</v>
      </c>
      <c r="B16" s="137">
        <v>1000</v>
      </c>
      <c r="C16" s="137" t="s">
        <v>239</v>
      </c>
      <c r="D16" s="137"/>
      <c r="E16" s="137"/>
      <c r="F16" t="s">
        <v>240</v>
      </c>
    </row>
    <row r="19" spans="1:6">
      <c r="A19" t="s">
        <v>204</v>
      </c>
      <c r="B19" t="s">
        <v>27</v>
      </c>
      <c r="C19" t="s">
        <v>205</v>
      </c>
      <c r="D19" t="s">
        <v>206</v>
      </c>
      <c r="E19" t="s">
        <v>207</v>
      </c>
    </row>
    <row r="20" spans="1:6">
      <c r="A20" t="s">
        <v>241</v>
      </c>
      <c r="B20">
        <v>1.3889</v>
      </c>
      <c r="C20" t="s">
        <v>209</v>
      </c>
      <c r="D20">
        <v>1388.89</v>
      </c>
      <c r="E20" t="s">
        <v>210</v>
      </c>
      <c r="F20" t="s">
        <v>242</v>
      </c>
    </row>
    <row r="21" spans="1:6">
      <c r="A21" t="s">
        <v>243</v>
      </c>
      <c r="B21">
        <f>B10*B11</f>
        <v>1115.5</v>
      </c>
      <c r="C21" t="s">
        <v>244</v>
      </c>
      <c r="F21" t="s">
        <v>245</v>
      </c>
    </row>
    <row r="22" spans="1:6">
      <c r="A22" t="s">
        <v>246</v>
      </c>
      <c r="B22">
        <f>B21*B8/1000</f>
        <v>803.16</v>
      </c>
      <c r="C22" t="s">
        <v>247</v>
      </c>
      <c r="F22" t="s">
        <v>248</v>
      </c>
    </row>
  </sheetData>
  <mergeCells count="1">
    <mergeCell ref="A2:G3"/>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5148-4676-4649-B17E-61D13A065031}">
  <sheetPr>
    <tabColor theme="9" tint="-0.249977111117893"/>
  </sheetPr>
  <dimension ref="A2:N22"/>
  <sheetViews>
    <sheetView zoomScale="82" workbookViewId="0">
      <selection activeCell="A6" sqref="A6:A16"/>
    </sheetView>
  </sheetViews>
  <sheetFormatPr defaultColWidth="11.42578125" defaultRowHeight="14.45"/>
  <cols>
    <col min="1" max="1" width="16.140625" customWidth="1"/>
  </cols>
  <sheetData>
    <row r="2" spans="1:14">
      <c r="A2" s="96" t="s">
        <v>249</v>
      </c>
      <c r="B2" s="96"/>
      <c r="C2" s="96"/>
      <c r="D2" s="96"/>
      <c r="E2" s="96"/>
      <c r="F2" s="96"/>
      <c r="G2" s="96"/>
    </row>
    <row r="3" spans="1:14">
      <c r="A3" s="96"/>
      <c r="B3" s="96"/>
      <c r="C3" s="96"/>
      <c r="D3" s="96"/>
      <c r="E3" s="96"/>
      <c r="F3" s="96"/>
      <c r="G3" s="96"/>
    </row>
    <row r="5" spans="1:14">
      <c r="A5" t="s">
        <v>177</v>
      </c>
      <c r="B5" t="s">
        <v>205</v>
      </c>
      <c r="C5" t="s">
        <v>29</v>
      </c>
      <c r="D5" t="s">
        <v>32</v>
      </c>
      <c r="E5" t="s">
        <v>34</v>
      </c>
      <c r="F5" t="s">
        <v>37</v>
      </c>
      <c r="G5" t="s">
        <v>40</v>
      </c>
      <c r="H5" t="s">
        <v>43</v>
      </c>
      <c r="I5" t="s">
        <v>46</v>
      </c>
      <c r="J5" t="s">
        <v>49</v>
      </c>
      <c r="K5" t="s">
        <v>52</v>
      </c>
      <c r="L5" t="s">
        <v>54</v>
      </c>
      <c r="M5" t="s">
        <v>57</v>
      </c>
      <c r="N5" t="s">
        <v>64</v>
      </c>
    </row>
    <row r="6" spans="1:14" ht="15">
      <c r="A6" s="4" t="s">
        <v>250</v>
      </c>
      <c r="B6" t="s">
        <v>235</v>
      </c>
      <c r="C6">
        <v>313</v>
      </c>
      <c r="D6">
        <v>281</v>
      </c>
      <c r="E6">
        <v>275</v>
      </c>
      <c r="F6">
        <v>212</v>
      </c>
      <c r="G6">
        <v>226</v>
      </c>
      <c r="H6">
        <v>243</v>
      </c>
      <c r="I6">
        <v>257</v>
      </c>
      <c r="J6">
        <v>229</v>
      </c>
      <c r="K6">
        <v>218</v>
      </c>
      <c r="L6">
        <v>248</v>
      </c>
      <c r="M6">
        <v>271</v>
      </c>
      <c r="N6">
        <v>307</v>
      </c>
    </row>
    <row r="7" spans="1:14" ht="15">
      <c r="A7" s="4" t="s">
        <v>251</v>
      </c>
      <c r="B7" t="s">
        <v>192</v>
      </c>
      <c r="C7">
        <v>71900</v>
      </c>
      <c r="D7">
        <v>70730</v>
      </c>
      <c r="E7">
        <v>70720</v>
      </c>
      <c r="F7">
        <v>70470</v>
      </c>
      <c r="G7">
        <v>85650</v>
      </c>
      <c r="H7">
        <v>97070</v>
      </c>
      <c r="I7">
        <v>93790</v>
      </c>
      <c r="J7">
        <v>82330</v>
      </c>
      <c r="K7">
        <v>76310</v>
      </c>
      <c r="L7">
        <v>65670</v>
      </c>
      <c r="M7">
        <v>61670</v>
      </c>
      <c r="N7">
        <v>56630</v>
      </c>
    </row>
    <row r="8" spans="1:14" ht="15">
      <c r="A8" s="4" t="s">
        <v>252</v>
      </c>
      <c r="B8" t="s">
        <v>235</v>
      </c>
      <c r="C8">
        <v>4.03</v>
      </c>
      <c r="D8">
        <v>5.3</v>
      </c>
      <c r="E8">
        <v>9.1199999999999992</v>
      </c>
      <c r="F8">
        <v>3.16</v>
      </c>
      <c r="G8">
        <v>1.79</v>
      </c>
      <c r="H8">
        <v>1.55</v>
      </c>
      <c r="I8">
        <v>0.77</v>
      </c>
      <c r="J8">
        <v>0.46</v>
      </c>
      <c r="K8">
        <v>0.66</v>
      </c>
      <c r="L8">
        <v>1.81</v>
      </c>
      <c r="M8">
        <v>4.17</v>
      </c>
      <c r="N8">
        <v>5.33</v>
      </c>
    </row>
    <row r="9" spans="1:14" ht="15">
      <c r="A9" s="4" t="s">
        <v>253</v>
      </c>
      <c r="B9" t="s">
        <v>235</v>
      </c>
      <c r="C9">
        <v>0</v>
      </c>
      <c r="D9">
        <v>0</v>
      </c>
      <c r="E9">
        <v>0</v>
      </c>
      <c r="F9">
        <v>0.22</v>
      </c>
      <c r="G9">
        <v>1.82</v>
      </c>
      <c r="H9">
        <v>3.23</v>
      </c>
      <c r="I9">
        <v>2.12</v>
      </c>
      <c r="J9">
        <v>1.59</v>
      </c>
      <c r="K9">
        <v>1.36</v>
      </c>
      <c r="L9">
        <v>2</v>
      </c>
      <c r="M9">
        <v>1.61</v>
      </c>
      <c r="N9">
        <v>0.39</v>
      </c>
    </row>
    <row r="10" spans="1:14" ht="15">
      <c r="A10" s="4" t="s">
        <v>254</v>
      </c>
      <c r="B10" t="s">
        <v>235</v>
      </c>
      <c r="C10">
        <v>0.2</v>
      </c>
      <c r="D10">
        <v>0.2</v>
      </c>
      <c r="E10">
        <v>0.24</v>
      </c>
      <c r="F10">
        <v>0.24</v>
      </c>
      <c r="G10">
        <v>0.34</v>
      </c>
      <c r="H10">
        <v>0.41</v>
      </c>
      <c r="I10">
        <v>0.31</v>
      </c>
      <c r="J10">
        <v>0.51</v>
      </c>
      <c r="K10">
        <v>0.56999999999999995</v>
      </c>
      <c r="L10">
        <v>0.28000000000000003</v>
      </c>
      <c r="M10">
        <v>0.3</v>
      </c>
      <c r="N10">
        <v>0.24</v>
      </c>
    </row>
    <row r="11" spans="1:14" ht="15">
      <c r="A11" s="4" t="s">
        <v>255</v>
      </c>
      <c r="B11" t="s">
        <v>235</v>
      </c>
      <c r="C11">
        <f>SQRT((PARAMETROSPL!$B$15^2)+DATOSMENSUALES!C8^2+DATOSMENSUALES!C9^2+DATOSMENSUALES!C10^2)</f>
        <v>14.112500342140599</v>
      </c>
      <c r="D11">
        <f>SQRT((PARAMETROSPL!$B$15^2)+DATOSMENSUALES!D8^2+DATOSMENSUALES!D9^2+DATOSMENSUALES!D10^2)</f>
        <v>14.52624403990648</v>
      </c>
      <c r="E11">
        <f>SQRT((PARAMETROSPL!$B$15^2)+DATOSMENSUALES!E8^2+DATOSMENSUALES!E9^2+DATOSMENSUALES!E10^2)</f>
        <v>16.312993775114318</v>
      </c>
      <c r="F11">
        <f>SQRT((PARAMETROSPL!$B$15^2)+DATOSMENSUALES!F8^2+DATOSMENSUALES!F9^2+DATOSMENSUALES!F10^2)</f>
        <v>13.891485374390982</v>
      </c>
      <c r="G11">
        <f>SQRT((PARAMETROSPL!$B$15^2)+DATOSMENSUALES!G8^2+DATOSMENSUALES!G9^2+DATOSMENSUALES!G10^2)</f>
        <v>13.76640352114228</v>
      </c>
      <c r="H11">
        <f>SQRT((PARAMETROSPL!$B$15^2)+DATOSMENSUALES!H8^2+DATOSMENSUALES!H9^2+DATOSMENSUALES!H10^2)</f>
        <v>13.99590175397493</v>
      </c>
      <c r="I11">
        <f>SQRT((PARAMETROSPL!$B$15^2)+DATOSMENSUALES!I8^2+DATOSMENSUALES!I9^2+DATOSMENSUALES!I10^2)</f>
        <v>13.713685351025031</v>
      </c>
      <c r="J11">
        <f>SQRT((PARAMETROSPL!$B$15^2)+DATOSMENSUALES!J8^2+DATOSMENSUALES!J9^2+DATOSMENSUALES!J10^2)</f>
        <v>13.633839001063439</v>
      </c>
      <c r="K11">
        <f>SQRT((PARAMETROSPL!$B$15^2)+DATOSMENSUALES!K8^2+DATOSMENSUALES!K9^2+DATOSMENSUALES!K10^2)</f>
        <v>13.619539856651492</v>
      </c>
      <c r="L11">
        <f>SQRT((PARAMETROSPL!$B$15^2)+DATOSMENSUALES!L8^2+DATOSMENSUALES!L9^2+DATOSMENSUALES!L10^2)</f>
        <v>13.792616354663046</v>
      </c>
      <c r="M11">
        <f>SQRT((PARAMETROSPL!$B$15^2)+DATOSMENSUALES!M8^2+DATOSMENSUALES!M9^2+DATOSMENSUALES!M10^2)</f>
        <v>14.246149160629988</v>
      </c>
      <c r="N11">
        <f>SQRT((PARAMETROSPL!$B$15^2)+DATOSMENSUALES!N8^2+DATOSMENSUALES!N9^2+DATOSMENSUALES!N10^2)</f>
        <v>14.543052152382543</v>
      </c>
    </row>
    <row r="12" spans="1:14" ht="15">
      <c r="A12" s="4" t="s">
        <v>256</v>
      </c>
      <c r="B12" t="s">
        <v>192</v>
      </c>
      <c r="C12">
        <f>PARAMETROSPL!$D$6-C7</f>
        <v>1428100</v>
      </c>
      <c r="D12">
        <f>PARAMETROSPL!$D$6-D7</f>
        <v>1429270</v>
      </c>
      <c r="E12">
        <f>PARAMETROSPL!$D$6-E7</f>
        <v>1429280</v>
      </c>
      <c r="F12">
        <f>PARAMETROSPL!$D$6-F7</f>
        <v>1429530</v>
      </c>
      <c r="G12">
        <f>PARAMETROSPL!$D$6-G7</f>
        <v>1414350</v>
      </c>
      <c r="H12">
        <f>PARAMETROSPL!$D$6-H7</f>
        <v>1402930</v>
      </c>
      <c r="I12">
        <f>PARAMETROSPL!$D$6-I7</f>
        <v>1406210</v>
      </c>
      <c r="J12">
        <f>PARAMETROSPL!$D$6-J7</f>
        <v>1417670</v>
      </c>
      <c r="K12">
        <f>PARAMETROSPL!$D$6-K7</f>
        <v>1423690</v>
      </c>
      <c r="L12">
        <f>PARAMETROSPL!$D$6-L7</f>
        <v>1434330</v>
      </c>
      <c r="M12">
        <f>PARAMETROSPL!$D$6-M7</f>
        <v>1438330</v>
      </c>
      <c r="N12">
        <f>PARAMETROSPL!$D$6-N7</f>
        <v>1443370</v>
      </c>
    </row>
    <row r="13" spans="1:14" ht="15">
      <c r="A13" s="4" t="s">
        <v>257</v>
      </c>
      <c r="B13" t="s">
        <v>192</v>
      </c>
      <c r="C13">
        <f>PARAMETROSPL!$D$20</f>
        <v>1388.89</v>
      </c>
      <c r="D13">
        <f>PARAMETROSPL!$D$20</f>
        <v>1388.89</v>
      </c>
      <c r="E13">
        <f>PARAMETROSPL!$D$20</f>
        <v>1388.89</v>
      </c>
      <c r="F13">
        <f>PARAMETROSPL!$D$20</f>
        <v>1388.89</v>
      </c>
      <c r="G13">
        <f>PARAMETROSPL!$D$20</f>
        <v>1388.89</v>
      </c>
      <c r="H13">
        <f>PARAMETROSPL!$D$20</f>
        <v>1388.89</v>
      </c>
      <c r="I13">
        <f>PARAMETROSPL!$D$20</f>
        <v>1388.89</v>
      </c>
      <c r="J13">
        <f>PARAMETROSPL!$D$20</f>
        <v>1388.89</v>
      </c>
      <c r="K13">
        <f>PARAMETROSPL!$D$20</f>
        <v>1388.89</v>
      </c>
      <c r="L13">
        <f>PARAMETROSPL!$D$20</f>
        <v>1388.89</v>
      </c>
      <c r="M13">
        <f>PARAMETROSPL!$D$20</f>
        <v>1388.89</v>
      </c>
      <c r="N13">
        <f>PARAMETROSPL!$D$20</f>
        <v>1388.89</v>
      </c>
    </row>
    <row r="14" spans="1:14" ht="15">
      <c r="A14" s="4" t="s">
        <v>258</v>
      </c>
      <c r="B14" t="s">
        <v>226</v>
      </c>
      <c r="C14">
        <f>C12/(C12+C13)</f>
        <v>0.99902840098323542</v>
      </c>
      <c r="D14">
        <f t="shared" ref="D14:N14" si="0">D12/(D12+D13)</f>
        <v>0.99902919556177372</v>
      </c>
      <c r="E14">
        <f t="shared" si="0"/>
        <v>0.99902920234744186</v>
      </c>
      <c r="F14">
        <f t="shared" si="0"/>
        <v>0.99902937195832264</v>
      </c>
      <c r="G14">
        <f t="shared" si="0"/>
        <v>0.99901896457757133</v>
      </c>
      <c r="H14">
        <f t="shared" si="0"/>
        <v>0.99901098674247701</v>
      </c>
      <c r="I14">
        <f t="shared" si="0"/>
        <v>0.99901329135035055</v>
      </c>
      <c r="J14">
        <f t="shared" si="0"/>
        <v>0.99902125978718204</v>
      </c>
      <c r="K14">
        <f t="shared" si="0"/>
        <v>0.99902539430641635</v>
      </c>
      <c r="L14">
        <f t="shared" si="0"/>
        <v>0.99903261703271184</v>
      </c>
      <c r="M14">
        <f t="shared" si="0"/>
        <v>0.99903530473230095</v>
      </c>
      <c r="N14">
        <f t="shared" si="0"/>
        <v>0.99903867004410685</v>
      </c>
    </row>
    <row r="15" spans="1:14" ht="15">
      <c r="A15" s="4" t="s">
        <v>259</v>
      </c>
      <c r="B15" t="s">
        <v>226</v>
      </c>
      <c r="C15">
        <f>_xlfn.NORM.S.INV(C14)</f>
        <v>3.098779164685709</v>
      </c>
      <c r="D15">
        <f t="shared" ref="D15:N15" si="1">_xlfn.NORM.S.INV(D14)</f>
        <v>3.0990215640910406</v>
      </c>
      <c r="E15">
        <f t="shared" si="1"/>
        <v>3.0990236349563651</v>
      </c>
      <c r="F15">
        <f t="shared" si="1"/>
        <v>3.099075401501219</v>
      </c>
      <c r="G15">
        <f t="shared" si="1"/>
        <v>3.0959142636673889</v>
      </c>
      <c r="H15">
        <f t="shared" si="1"/>
        <v>3.0935118528719667</v>
      </c>
      <c r="I15">
        <f t="shared" si="1"/>
        <v>3.0942040199505212</v>
      </c>
      <c r="J15">
        <f t="shared" si="1"/>
        <v>3.0966087553605761</v>
      </c>
      <c r="K15">
        <f t="shared" si="1"/>
        <v>3.0978635722687131</v>
      </c>
      <c r="L15">
        <f t="shared" si="1"/>
        <v>3.1000674261247383</v>
      </c>
      <c r="M15">
        <f t="shared" si="1"/>
        <v>3.1008913764183745</v>
      </c>
      <c r="N15">
        <f t="shared" si="1"/>
        <v>3.1019260349694542</v>
      </c>
    </row>
    <row r="16" spans="1:14" ht="15">
      <c r="A16" s="4" t="s">
        <v>260</v>
      </c>
      <c r="B16" t="s">
        <v>235</v>
      </c>
      <c r="C16">
        <f>C15*C11</f>
        <v>43.73152202184523</v>
      </c>
      <c r="D16">
        <f t="shared" ref="D16:N16" si="2">D15*D11</f>
        <v>45.017143524919135</v>
      </c>
      <c r="E16">
        <f t="shared" si="2"/>
        <v>50.55435326597533</v>
      </c>
      <c r="F16">
        <f t="shared" si="2"/>
        <v>43.050760614089043</v>
      </c>
      <c r="G16">
        <f t="shared" si="2"/>
        <v>42.619605020505354</v>
      </c>
      <c r="H16">
        <f t="shared" si="2"/>
        <v>43.296487967552999</v>
      </c>
      <c r="I16">
        <f t="shared" si="2"/>
        <v>42.432940341478229</v>
      </c>
      <c r="J16">
        <f t="shared" si="2"/>
        <v>42.218665219869536</v>
      </c>
      <c r="K16">
        <f t="shared" si="2"/>
        <v>42.191476392982509</v>
      </c>
      <c r="L16">
        <f t="shared" si="2"/>
        <v>42.758040682126243</v>
      </c>
      <c r="M16">
        <f t="shared" si="2"/>
        <v>44.175761079367398</v>
      </c>
      <c r="N16">
        <f t="shared" si="2"/>
        <v>45.111472099393971</v>
      </c>
    </row>
    <row r="20" spans="1:14" ht="15">
      <c r="A20" s="138" t="s">
        <v>261</v>
      </c>
      <c r="B20" s="1" t="s">
        <v>235</v>
      </c>
      <c r="C20" s="1">
        <v>14.82</v>
      </c>
      <c r="D20" s="1">
        <v>14.84</v>
      </c>
      <c r="E20" s="1">
        <v>27.58</v>
      </c>
      <c r="F20" s="1">
        <v>18.149999999999999</v>
      </c>
      <c r="G20" s="1">
        <v>8.33</v>
      </c>
      <c r="H20" s="1">
        <v>6.01</v>
      </c>
      <c r="I20" s="1">
        <v>6.18</v>
      </c>
      <c r="J20" s="1">
        <v>7.81</v>
      </c>
      <c r="K20" s="1">
        <v>10.24</v>
      </c>
      <c r="L20" s="1">
        <v>13.91</v>
      </c>
      <c r="M20" s="1">
        <v>17.78</v>
      </c>
      <c r="N20" s="1">
        <v>19.7</v>
      </c>
    </row>
    <row r="21" spans="1:14" ht="15">
      <c r="A21" s="138" t="s">
        <v>262</v>
      </c>
      <c r="B21" s="1" t="s">
        <v>235</v>
      </c>
      <c r="C21" s="1">
        <v>0</v>
      </c>
      <c r="D21" s="1">
        <v>0</v>
      </c>
      <c r="E21" s="1">
        <v>0</v>
      </c>
      <c r="F21" s="1">
        <v>0.54</v>
      </c>
      <c r="G21" s="1">
        <v>5.92</v>
      </c>
      <c r="H21" s="1">
        <v>11.49</v>
      </c>
      <c r="I21" s="1">
        <v>10.67</v>
      </c>
      <c r="J21" s="1">
        <v>10.17</v>
      </c>
      <c r="K21" s="1">
        <v>8.07</v>
      </c>
      <c r="L21" s="1">
        <v>7.47</v>
      </c>
      <c r="M21" s="1">
        <v>4.82</v>
      </c>
      <c r="N21" s="1">
        <v>0.91</v>
      </c>
    </row>
    <row r="22" spans="1:14" ht="15">
      <c r="A22" s="138" t="s">
        <v>263</v>
      </c>
      <c r="B22" s="1" t="s">
        <v>235</v>
      </c>
      <c r="C22" s="1">
        <v>0.42</v>
      </c>
      <c r="D22" s="1">
        <v>0.4</v>
      </c>
      <c r="E22" s="1">
        <v>0.64</v>
      </c>
      <c r="F22" s="1">
        <v>1.03</v>
      </c>
      <c r="G22" s="1">
        <v>1.99</v>
      </c>
      <c r="H22" s="1">
        <v>2.0499999999999998</v>
      </c>
      <c r="I22" s="1">
        <v>1.93</v>
      </c>
      <c r="J22" s="1">
        <v>1.99</v>
      </c>
      <c r="K22" s="1">
        <v>1.41</v>
      </c>
      <c r="L22" s="1">
        <v>0.69</v>
      </c>
      <c r="M22" s="1">
        <v>0.67</v>
      </c>
      <c r="N22" s="1">
        <v>0.62</v>
      </c>
    </row>
  </sheetData>
  <mergeCells count="1">
    <mergeCell ref="A2:G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7223-724B-42BD-B20B-A647ED129399}">
  <sheetPr>
    <tabColor theme="9" tint="-0.249977111117893"/>
  </sheetPr>
  <dimension ref="A1:G168"/>
  <sheetViews>
    <sheetView showGridLines="0" workbookViewId="0">
      <selection activeCell="D157" sqref="D157"/>
    </sheetView>
  </sheetViews>
  <sheetFormatPr defaultColWidth="11.42578125" defaultRowHeight="14.45"/>
  <cols>
    <col min="1" max="1" width="2.28515625" customWidth="1"/>
    <col min="2" max="2" width="6.42578125" bestFit="1" customWidth="1"/>
    <col min="3" max="3" width="14.5703125" bestFit="1" customWidth="1"/>
    <col min="4" max="4" width="14.7109375" bestFit="1" customWidth="1"/>
    <col min="5" max="5" width="13.85546875" bestFit="1" customWidth="1"/>
    <col min="6" max="6" width="11.85546875" bestFit="1" customWidth="1"/>
    <col min="7" max="7" width="12" bestFit="1" customWidth="1"/>
  </cols>
  <sheetData>
    <row r="1" spans="1:5">
      <c r="A1" s="4" t="s">
        <v>264</v>
      </c>
    </row>
    <row r="2" spans="1:5">
      <c r="A2" s="4" t="s">
        <v>265</v>
      </c>
    </row>
    <row r="3" spans="1:5">
      <c r="A3" s="4" t="s">
        <v>266</v>
      </c>
    </row>
    <row r="4" spans="1:5">
      <c r="A4" s="4" t="s">
        <v>267</v>
      </c>
    </row>
    <row r="5" spans="1:5">
      <c r="A5" s="4" t="s">
        <v>268</v>
      </c>
    </row>
    <row r="6" spans="1:5">
      <c r="A6" s="4"/>
      <c r="B6" t="s">
        <v>269</v>
      </c>
    </row>
    <row r="7" spans="1:5">
      <c r="A7" s="4"/>
      <c r="B7" t="s">
        <v>270</v>
      </c>
    </row>
    <row r="8" spans="1:5">
      <c r="A8" s="4"/>
      <c r="B8" t="s">
        <v>271</v>
      </c>
    </row>
    <row r="9" spans="1:5">
      <c r="A9" s="4" t="s">
        <v>272</v>
      </c>
    </row>
    <row r="10" spans="1:5">
      <c r="B10" t="s">
        <v>273</v>
      </c>
    </row>
    <row r="11" spans="1:5">
      <c r="B11" t="s">
        <v>274</v>
      </c>
    </row>
    <row r="14" spans="1:5" ht="15" thickBot="1">
      <c r="A14" t="s">
        <v>275</v>
      </c>
    </row>
    <row r="15" spans="1:5" ht="15" thickBot="1">
      <c r="B15" s="44" t="s">
        <v>276</v>
      </c>
      <c r="C15" s="44" t="s">
        <v>277</v>
      </c>
      <c r="D15" s="44" t="s">
        <v>278</v>
      </c>
      <c r="E15" s="44" t="s">
        <v>279</v>
      </c>
    </row>
    <row r="16" spans="1:5" ht="15" thickBot="1">
      <c r="B16" s="43" t="s">
        <v>280</v>
      </c>
      <c r="C16" s="43" t="s">
        <v>281</v>
      </c>
      <c r="D16" s="43">
        <v>247438005.09937853</v>
      </c>
      <c r="E16" s="43">
        <v>247438005.09937853</v>
      </c>
    </row>
    <row r="19" spans="1:6" ht="15" thickBot="1">
      <c r="A19" t="s">
        <v>282</v>
      </c>
    </row>
    <row r="20" spans="1:6" ht="15" thickBot="1">
      <c r="B20" s="44" t="s">
        <v>276</v>
      </c>
      <c r="C20" s="44" t="s">
        <v>277</v>
      </c>
      <c r="D20" s="44" t="s">
        <v>278</v>
      </c>
      <c r="E20" s="44" t="s">
        <v>279</v>
      </c>
      <c r="F20" s="44" t="s">
        <v>283</v>
      </c>
    </row>
    <row r="21" spans="1:6">
      <c r="B21" s="45" t="s">
        <v>284</v>
      </c>
      <c r="C21" s="45" t="s">
        <v>285</v>
      </c>
      <c r="D21" s="45">
        <v>14.82</v>
      </c>
      <c r="E21" s="45">
        <v>14.82</v>
      </c>
      <c r="F21" s="45" t="s">
        <v>286</v>
      </c>
    </row>
    <row r="22" spans="1:6">
      <c r="B22" s="45" t="s">
        <v>287</v>
      </c>
      <c r="C22" s="45" t="s">
        <v>288</v>
      </c>
      <c r="D22" s="45">
        <v>14.84</v>
      </c>
      <c r="E22" s="45">
        <v>14.84</v>
      </c>
      <c r="F22" s="45" t="s">
        <v>286</v>
      </c>
    </row>
    <row r="23" spans="1:6">
      <c r="B23" s="45" t="s">
        <v>289</v>
      </c>
      <c r="C23" s="45" t="s">
        <v>290</v>
      </c>
      <c r="D23" s="45">
        <v>27.58</v>
      </c>
      <c r="E23" s="45">
        <v>27.58</v>
      </c>
      <c r="F23" s="45" t="s">
        <v>286</v>
      </c>
    </row>
    <row r="24" spans="1:6">
      <c r="B24" s="45" t="s">
        <v>291</v>
      </c>
      <c r="C24" s="45" t="s">
        <v>292</v>
      </c>
      <c r="D24" s="45">
        <v>18.149999999999999</v>
      </c>
      <c r="E24" s="45">
        <v>18.149999999999999</v>
      </c>
      <c r="F24" s="45" t="s">
        <v>286</v>
      </c>
    </row>
    <row r="25" spans="1:6">
      <c r="B25" s="45" t="s">
        <v>293</v>
      </c>
      <c r="C25" s="45" t="s">
        <v>294</v>
      </c>
      <c r="D25" s="45">
        <v>8.33</v>
      </c>
      <c r="E25" s="45">
        <v>8.33</v>
      </c>
      <c r="F25" s="45" t="s">
        <v>286</v>
      </c>
    </row>
    <row r="26" spans="1:6">
      <c r="B26" s="45" t="s">
        <v>295</v>
      </c>
      <c r="C26" s="45" t="s">
        <v>296</v>
      </c>
      <c r="D26" s="45">
        <v>6.01</v>
      </c>
      <c r="E26" s="45">
        <v>6.01</v>
      </c>
      <c r="F26" s="45" t="s">
        <v>286</v>
      </c>
    </row>
    <row r="27" spans="1:6">
      <c r="B27" s="45" t="s">
        <v>297</v>
      </c>
      <c r="C27" s="45" t="s">
        <v>298</v>
      </c>
      <c r="D27" s="45">
        <v>6.18</v>
      </c>
      <c r="E27" s="45">
        <v>6.18</v>
      </c>
      <c r="F27" s="45" t="s">
        <v>286</v>
      </c>
    </row>
    <row r="28" spans="1:6">
      <c r="B28" s="45" t="s">
        <v>299</v>
      </c>
      <c r="C28" s="45" t="s">
        <v>300</v>
      </c>
      <c r="D28" s="45">
        <v>7.81</v>
      </c>
      <c r="E28" s="45">
        <v>7.81</v>
      </c>
      <c r="F28" s="45" t="s">
        <v>286</v>
      </c>
    </row>
    <row r="29" spans="1:6">
      <c r="B29" s="45" t="s">
        <v>301</v>
      </c>
      <c r="C29" s="45" t="s">
        <v>302</v>
      </c>
      <c r="D29" s="45">
        <v>10.24</v>
      </c>
      <c r="E29" s="45">
        <v>10.24</v>
      </c>
      <c r="F29" s="45" t="s">
        <v>286</v>
      </c>
    </row>
    <row r="30" spans="1:6">
      <c r="B30" s="45" t="s">
        <v>303</v>
      </c>
      <c r="C30" s="45" t="s">
        <v>304</v>
      </c>
      <c r="D30" s="45">
        <v>13.91</v>
      </c>
      <c r="E30" s="45">
        <v>13.91</v>
      </c>
      <c r="F30" s="45" t="s">
        <v>286</v>
      </c>
    </row>
    <row r="31" spans="1:6">
      <c r="B31" s="45" t="s">
        <v>305</v>
      </c>
      <c r="C31" s="45" t="s">
        <v>306</v>
      </c>
      <c r="D31" s="45">
        <v>17.78</v>
      </c>
      <c r="E31" s="45">
        <v>17.78</v>
      </c>
      <c r="F31" s="45" t="s">
        <v>286</v>
      </c>
    </row>
    <row r="32" spans="1:6">
      <c r="B32" s="45" t="s">
        <v>307</v>
      </c>
      <c r="C32" s="45" t="s">
        <v>308</v>
      </c>
      <c r="D32" s="45">
        <v>19.7</v>
      </c>
      <c r="E32" s="45">
        <v>19.7</v>
      </c>
      <c r="F32" s="45" t="s">
        <v>286</v>
      </c>
    </row>
    <row r="33" spans="2:6">
      <c r="B33" s="45" t="s">
        <v>309</v>
      </c>
      <c r="C33" s="45" t="s">
        <v>285</v>
      </c>
      <c r="D33" s="45">
        <v>0</v>
      </c>
      <c r="E33" s="45">
        <v>0</v>
      </c>
      <c r="F33" s="45" t="s">
        <v>286</v>
      </c>
    </row>
    <row r="34" spans="2:6">
      <c r="B34" s="45" t="s">
        <v>310</v>
      </c>
      <c r="C34" s="45" t="s">
        <v>288</v>
      </c>
      <c r="D34" s="45">
        <v>0</v>
      </c>
      <c r="E34" s="45">
        <v>0</v>
      </c>
      <c r="F34" s="45" t="s">
        <v>286</v>
      </c>
    </row>
    <row r="35" spans="2:6">
      <c r="B35" s="45" t="s">
        <v>311</v>
      </c>
      <c r="C35" s="45" t="s">
        <v>290</v>
      </c>
      <c r="D35" s="45">
        <v>0</v>
      </c>
      <c r="E35" s="45">
        <v>0</v>
      </c>
      <c r="F35" s="45" t="s">
        <v>286</v>
      </c>
    </row>
    <row r="36" spans="2:6">
      <c r="B36" s="45" t="s">
        <v>312</v>
      </c>
      <c r="C36" s="45" t="s">
        <v>292</v>
      </c>
      <c r="D36" s="45">
        <v>0.54</v>
      </c>
      <c r="E36" s="45">
        <v>0.54</v>
      </c>
      <c r="F36" s="45" t="s">
        <v>286</v>
      </c>
    </row>
    <row r="37" spans="2:6">
      <c r="B37" s="45" t="s">
        <v>313</v>
      </c>
      <c r="C37" s="45" t="s">
        <v>294</v>
      </c>
      <c r="D37" s="45">
        <v>5.92</v>
      </c>
      <c r="E37" s="45">
        <v>5.92</v>
      </c>
      <c r="F37" s="45" t="s">
        <v>286</v>
      </c>
    </row>
    <row r="38" spans="2:6">
      <c r="B38" s="45" t="s">
        <v>314</v>
      </c>
      <c r="C38" s="45" t="s">
        <v>296</v>
      </c>
      <c r="D38" s="45">
        <v>11.49</v>
      </c>
      <c r="E38" s="45">
        <v>11.49</v>
      </c>
      <c r="F38" s="45" t="s">
        <v>286</v>
      </c>
    </row>
    <row r="39" spans="2:6">
      <c r="B39" s="45" t="s">
        <v>315</v>
      </c>
      <c r="C39" s="45" t="s">
        <v>298</v>
      </c>
      <c r="D39" s="45">
        <v>10.67</v>
      </c>
      <c r="E39" s="45">
        <v>10.67</v>
      </c>
      <c r="F39" s="45" t="s">
        <v>286</v>
      </c>
    </row>
    <row r="40" spans="2:6">
      <c r="B40" s="45" t="s">
        <v>316</v>
      </c>
      <c r="C40" s="45" t="s">
        <v>300</v>
      </c>
      <c r="D40" s="45">
        <v>10.17</v>
      </c>
      <c r="E40" s="45">
        <v>10.17</v>
      </c>
      <c r="F40" s="45" t="s">
        <v>286</v>
      </c>
    </row>
    <row r="41" spans="2:6">
      <c r="B41" s="45" t="s">
        <v>317</v>
      </c>
      <c r="C41" s="45" t="s">
        <v>302</v>
      </c>
      <c r="D41" s="45">
        <v>8.07</v>
      </c>
      <c r="E41" s="45">
        <v>8.07</v>
      </c>
      <c r="F41" s="45" t="s">
        <v>286</v>
      </c>
    </row>
    <row r="42" spans="2:6">
      <c r="B42" s="45" t="s">
        <v>318</v>
      </c>
      <c r="C42" s="45" t="s">
        <v>304</v>
      </c>
      <c r="D42" s="45">
        <v>7.47</v>
      </c>
      <c r="E42" s="45">
        <v>7.47</v>
      </c>
      <c r="F42" s="45" t="s">
        <v>286</v>
      </c>
    </row>
    <row r="43" spans="2:6">
      <c r="B43" s="45" t="s">
        <v>319</v>
      </c>
      <c r="C43" s="45" t="s">
        <v>306</v>
      </c>
      <c r="D43" s="45">
        <v>4.82</v>
      </c>
      <c r="E43" s="45">
        <v>4.82</v>
      </c>
      <c r="F43" s="45" t="s">
        <v>286</v>
      </c>
    </row>
    <row r="44" spans="2:6">
      <c r="B44" s="45" t="s">
        <v>320</v>
      </c>
      <c r="C44" s="45" t="s">
        <v>308</v>
      </c>
      <c r="D44" s="45">
        <v>0.91</v>
      </c>
      <c r="E44" s="45">
        <v>0.91</v>
      </c>
      <c r="F44" s="45" t="s">
        <v>286</v>
      </c>
    </row>
    <row r="45" spans="2:6">
      <c r="B45" s="45" t="s">
        <v>321</v>
      </c>
      <c r="C45" s="45" t="s">
        <v>285</v>
      </c>
      <c r="D45" s="45">
        <v>0.42</v>
      </c>
      <c r="E45" s="45">
        <v>0.42</v>
      </c>
      <c r="F45" s="45" t="s">
        <v>286</v>
      </c>
    </row>
    <row r="46" spans="2:6">
      <c r="B46" s="45" t="s">
        <v>322</v>
      </c>
      <c r="C46" s="45" t="s">
        <v>288</v>
      </c>
      <c r="D46" s="45">
        <v>0.4</v>
      </c>
      <c r="E46" s="45">
        <v>0.4</v>
      </c>
      <c r="F46" s="45" t="s">
        <v>286</v>
      </c>
    </row>
    <row r="47" spans="2:6">
      <c r="B47" s="45" t="s">
        <v>323</v>
      </c>
      <c r="C47" s="45" t="s">
        <v>290</v>
      </c>
      <c r="D47" s="45">
        <v>0.64</v>
      </c>
      <c r="E47" s="45">
        <v>0.64</v>
      </c>
      <c r="F47" s="45" t="s">
        <v>286</v>
      </c>
    </row>
    <row r="48" spans="2:6">
      <c r="B48" s="45" t="s">
        <v>324</v>
      </c>
      <c r="C48" s="45" t="s">
        <v>292</v>
      </c>
      <c r="D48" s="45">
        <v>1.03</v>
      </c>
      <c r="E48" s="45">
        <v>1.03</v>
      </c>
      <c r="F48" s="45" t="s">
        <v>286</v>
      </c>
    </row>
    <row r="49" spans="2:6">
      <c r="B49" s="45" t="s">
        <v>325</v>
      </c>
      <c r="C49" s="45" t="s">
        <v>294</v>
      </c>
      <c r="D49" s="45">
        <v>1.99</v>
      </c>
      <c r="E49" s="45">
        <v>1.99</v>
      </c>
      <c r="F49" s="45" t="s">
        <v>286</v>
      </c>
    </row>
    <row r="50" spans="2:6">
      <c r="B50" s="45" t="s">
        <v>326</v>
      </c>
      <c r="C50" s="45" t="s">
        <v>296</v>
      </c>
      <c r="D50" s="45">
        <v>2.0499999999999998</v>
      </c>
      <c r="E50" s="45">
        <v>2.0499999999999998</v>
      </c>
      <c r="F50" s="45" t="s">
        <v>286</v>
      </c>
    </row>
    <row r="51" spans="2:6">
      <c r="B51" s="45" t="s">
        <v>327</v>
      </c>
      <c r="C51" s="45" t="s">
        <v>298</v>
      </c>
      <c r="D51" s="45">
        <v>1.93</v>
      </c>
      <c r="E51" s="45">
        <v>1.93</v>
      </c>
      <c r="F51" s="45" t="s">
        <v>286</v>
      </c>
    </row>
    <row r="52" spans="2:6">
      <c r="B52" s="45" t="s">
        <v>328</v>
      </c>
      <c r="C52" s="45" t="s">
        <v>300</v>
      </c>
      <c r="D52" s="45">
        <v>1.99</v>
      </c>
      <c r="E52" s="45">
        <v>1.99</v>
      </c>
      <c r="F52" s="45" t="s">
        <v>286</v>
      </c>
    </row>
    <row r="53" spans="2:6">
      <c r="B53" s="45" t="s">
        <v>329</v>
      </c>
      <c r="C53" s="45" t="s">
        <v>302</v>
      </c>
      <c r="D53" s="45">
        <v>1.41</v>
      </c>
      <c r="E53" s="45">
        <v>1.41</v>
      </c>
      <c r="F53" s="45" t="s">
        <v>286</v>
      </c>
    </row>
    <row r="54" spans="2:6">
      <c r="B54" s="45" t="s">
        <v>330</v>
      </c>
      <c r="C54" s="45" t="s">
        <v>304</v>
      </c>
      <c r="D54" s="45">
        <v>0.69</v>
      </c>
      <c r="E54" s="45">
        <v>0.69</v>
      </c>
      <c r="F54" s="45" t="s">
        <v>286</v>
      </c>
    </row>
    <row r="55" spans="2:6">
      <c r="B55" s="45" t="s">
        <v>331</v>
      </c>
      <c r="C55" s="45" t="s">
        <v>306</v>
      </c>
      <c r="D55" s="45">
        <v>0.67</v>
      </c>
      <c r="E55" s="45">
        <v>0.67</v>
      </c>
      <c r="F55" s="45" t="s">
        <v>286</v>
      </c>
    </row>
    <row r="56" spans="2:6">
      <c r="B56" s="45" t="s">
        <v>332</v>
      </c>
      <c r="C56" s="45" t="s">
        <v>308</v>
      </c>
      <c r="D56" s="45">
        <v>0.62</v>
      </c>
      <c r="E56" s="45">
        <v>0.62</v>
      </c>
      <c r="F56" s="45" t="s">
        <v>286</v>
      </c>
    </row>
    <row r="57" spans="2:6">
      <c r="B57" s="45" t="s">
        <v>333</v>
      </c>
      <c r="C57" s="45" t="s">
        <v>285</v>
      </c>
      <c r="D57" s="45">
        <v>309.11233160621759</v>
      </c>
      <c r="E57" s="45">
        <v>309.11233160621759</v>
      </c>
      <c r="F57" s="45" t="s">
        <v>286</v>
      </c>
    </row>
    <row r="58" spans="2:6">
      <c r="B58" s="45" t="s">
        <v>334</v>
      </c>
      <c r="C58" s="45" t="s">
        <v>288</v>
      </c>
      <c r="D58" s="45">
        <v>275.95170984455956</v>
      </c>
      <c r="E58" s="45">
        <v>275.95170984455956</v>
      </c>
      <c r="F58" s="45" t="s">
        <v>286</v>
      </c>
    </row>
    <row r="59" spans="2:6">
      <c r="B59" s="45" t="s">
        <v>335</v>
      </c>
      <c r="C59" s="45" t="s">
        <v>290</v>
      </c>
      <c r="D59" s="45">
        <v>256.75409326424875</v>
      </c>
      <c r="E59" s="45">
        <v>256.75409326424875</v>
      </c>
      <c r="F59" s="45" t="s">
        <v>286</v>
      </c>
    </row>
    <row r="60" spans="2:6">
      <c r="B60" s="45" t="s">
        <v>336</v>
      </c>
      <c r="C60" s="45" t="s">
        <v>292</v>
      </c>
      <c r="D60" s="45">
        <v>199.9691191709845</v>
      </c>
      <c r="E60" s="45">
        <v>199.9691191709845</v>
      </c>
      <c r="F60" s="45" t="s">
        <v>286</v>
      </c>
    </row>
    <row r="61" spans="2:6">
      <c r="B61" s="45" t="s">
        <v>337</v>
      </c>
      <c r="C61" s="45" t="s">
        <v>294</v>
      </c>
      <c r="D61" s="45">
        <v>217.95689119170987</v>
      </c>
      <c r="E61" s="45">
        <v>217.95689119170984</v>
      </c>
      <c r="F61" s="45" t="s">
        <v>286</v>
      </c>
    </row>
    <row r="62" spans="2:6">
      <c r="B62" s="45" t="s">
        <v>338</v>
      </c>
      <c r="C62" s="45" t="s">
        <v>296</v>
      </c>
      <c r="D62" s="45">
        <v>232.2634715025907</v>
      </c>
      <c r="E62" s="45">
        <v>232.26347150259073</v>
      </c>
      <c r="F62" s="45" t="s">
        <v>286</v>
      </c>
    </row>
    <row r="63" spans="2:6">
      <c r="B63" s="45" t="s">
        <v>339</v>
      </c>
      <c r="C63" s="45" t="s">
        <v>298</v>
      </c>
      <c r="D63" s="45">
        <v>247.54124352331613</v>
      </c>
      <c r="E63" s="45">
        <v>247.54124352331613</v>
      </c>
      <c r="F63" s="45" t="s">
        <v>286</v>
      </c>
    </row>
    <row r="64" spans="2:6">
      <c r="B64" s="45" t="s">
        <v>340</v>
      </c>
      <c r="C64" s="45" t="s">
        <v>300</v>
      </c>
      <c r="D64" s="45">
        <v>217.33569948186528</v>
      </c>
      <c r="E64" s="45">
        <v>217.33569948186528</v>
      </c>
      <c r="F64" s="45" t="s">
        <v>286</v>
      </c>
    </row>
    <row r="65" spans="2:6">
      <c r="B65" s="45" t="s">
        <v>341</v>
      </c>
      <c r="C65" s="45" t="s">
        <v>302</v>
      </c>
      <c r="D65" s="45">
        <v>206.18673575129537</v>
      </c>
      <c r="E65" s="45">
        <v>206.18673575129537</v>
      </c>
      <c r="F65" s="45" t="s">
        <v>286</v>
      </c>
    </row>
    <row r="66" spans="2:6">
      <c r="B66" s="45" t="s">
        <v>342</v>
      </c>
      <c r="C66" s="45" t="s">
        <v>304</v>
      </c>
      <c r="D66" s="45">
        <v>234.92481865284978</v>
      </c>
      <c r="E66" s="45">
        <v>234.92481865284978</v>
      </c>
      <c r="F66" s="45" t="s">
        <v>286</v>
      </c>
    </row>
    <row r="67" spans="2:6">
      <c r="B67" s="45" t="s">
        <v>343</v>
      </c>
      <c r="C67" s="45" t="s">
        <v>306</v>
      </c>
      <c r="D67" s="45">
        <v>257.55901554404147</v>
      </c>
      <c r="E67" s="45">
        <v>257.55901554404153</v>
      </c>
      <c r="F67" s="45" t="s">
        <v>286</v>
      </c>
    </row>
    <row r="68" spans="2:6">
      <c r="B68" s="45" t="s">
        <v>344</v>
      </c>
      <c r="C68" s="45" t="s">
        <v>308</v>
      </c>
      <c r="D68" s="45">
        <v>296.9047150259068</v>
      </c>
      <c r="E68" s="45">
        <v>296.9047150259068</v>
      </c>
      <c r="F68" s="45" t="s">
        <v>286</v>
      </c>
    </row>
    <row r="69" spans="2:6">
      <c r="B69" s="45" t="s">
        <v>345</v>
      </c>
      <c r="C69" s="45" t="s">
        <v>285</v>
      </c>
      <c r="D69" s="45">
        <v>43.73152202184523</v>
      </c>
      <c r="E69" s="45">
        <v>43.73152202184523</v>
      </c>
      <c r="F69" s="45" t="s">
        <v>286</v>
      </c>
    </row>
    <row r="70" spans="2:6">
      <c r="B70" s="45" t="s">
        <v>346</v>
      </c>
      <c r="C70" s="45" t="s">
        <v>288</v>
      </c>
      <c r="D70" s="45">
        <v>45.017143524919135</v>
      </c>
      <c r="E70" s="45">
        <v>45.017143524919135</v>
      </c>
      <c r="F70" s="45" t="s">
        <v>286</v>
      </c>
    </row>
    <row r="71" spans="2:6">
      <c r="B71" s="45" t="s">
        <v>347</v>
      </c>
      <c r="C71" s="45" t="s">
        <v>290</v>
      </c>
      <c r="D71" s="45">
        <v>50.55435326597533</v>
      </c>
      <c r="E71" s="45">
        <v>50.55435326597533</v>
      </c>
      <c r="F71" s="45" t="s">
        <v>286</v>
      </c>
    </row>
    <row r="72" spans="2:6">
      <c r="B72" s="45" t="s">
        <v>348</v>
      </c>
      <c r="C72" s="45" t="s">
        <v>292</v>
      </c>
      <c r="D72" s="45">
        <v>43.050760614089043</v>
      </c>
      <c r="E72" s="45">
        <v>43.050760614089043</v>
      </c>
      <c r="F72" s="45" t="s">
        <v>286</v>
      </c>
    </row>
    <row r="73" spans="2:6">
      <c r="B73" s="45" t="s">
        <v>349</v>
      </c>
      <c r="C73" s="45" t="s">
        <v>294</v>
      </c>
      <c r="D73" s="45">
        <v>42.619605020505354</v>
      </c>
      <c r="E73" s="45">
        <v>42.619605020505354</v>
      </c>
      <c r="F73" s="45" t="s">
        <v>286</v>
      </c>
    </row>
    <row r="74" spans="2:6">
      <c r="B74" s="45" t="s">
        <v>350</v>
      </c>
      <c r="C74" s="45" t="s">
        <v>296</v>
      </c>
      <c r="D74" s="45">
        <v>43.296487967552999</v>
      </c>
      <c r="E74" s="45">
        <v>43.296487967552999</v>
      </c>
      <c r="F74" s="45" t="s">
        <v>286</v>
      </c>
    </row>
    <row r="75" spans="2:6">
      <c r="B75" s="45" t="s">
        <v>351</v>
      </c>
      <c r="C75" s="45" t="s">
        <v>298</v>
      </c>
      <c r="D75" s="45">
        <v>42.432940341478229</v>
      </c>
      <c r="E75" s="45">
        <v>42.432940341478229</v>
      </c>
      <c r="F75" s="45" t="s">
        <v>286</v>
      </c>
    </row>
    <row r="76" spans="2:6">
      <c r="B76" s="45" t="s">
        <v>352</v>
      </c>
      <c r="C76" s="45" t="s">
        <v>300</v>
      </c>
      <c r="D76" s="45">
        <v>42.218665219869536</v>
      </c>
      <c r="E76" s="45">
        <v>42.218665219869536</v>
      </c>
      <c r="F76" s="45" t="s">
        <v>286</v>
      </c>
    </row>
    <row r="77" spans="2:6">
      <c r="B77" s="45" t="s">
        <v>353</v>
      </c>
      <c r="C77" s="45" t="s">
        <v>302</v>
      </c>
      <c r="D77" s="45">
        <v>42.191476392982509</v>
      </c>
      <c r="E77" s="45">
        <v>42.191476392982509</v>
      </c>
      <c r="F77" s="45" t="s">
        <v>286</v>
      </c>
    </row>
    <row r="78" spans="2:6">
      <c r="B78" s="45" t="s">
        <v>354</v>
      </c>
      <c r="C78" s="45" t="s">
        <v>304</v>
      </c>
      <c r="D78" s="45">
        <v>42.758040682126243</v>
      </c>
      <c r="E78" s="45">
        <v>42.758040682126243</v>
      </c>
      <c r="F78" s="45" t="s">
        <v>286</v>
      </c>
    </row>
    <row r="79" spans="2:6">
      <c r="B79" s="45" t="s">
        <v>355</v>
      </c>
      <c r="C79" s="45" t="s">
        <v>306</v>
      </c>
      <c r="D79" s="45">
        <v>44.175761079367398</v>
      </c>
      <c r="E79" s="45">
        <v>44.175761079367398</v>
      </c>
      <c r="F79" s="45" t="s">
        <v>286</v>
      </c>
    </row>
    <row r="80" spans="2:6">
      <c r="B80" s="45" t="s">
        <v>356</v>
      </c>
      <c r="C80" s="45" t="s">
        <v>308</v>
      </c>
      <c r="D80" s="45">
        <v>45.111472099393971</v>
      </c>
      <c r="E80" s="45">
        <v>45.111472099393971</v>
      </c>
      <c r="F80" s="45" t="s">
        <v>286</v>
      </c>
    </row>
    <row r="81" spans="1:7">
      <c r="B81" s="45" t="s">
        <v>357</v>
      </c>
      <c r="C81" s="45" t="s">
        <v>285</v>
      </c>
      <c r="D81" s="45">
        <v>0</v>
      </c>
      <c r="E81" s="45">
        <v>0</v>
      </c>
      <c r="F81" s="45" t="s">
        <v>286</v>
      </c>
    </row>
    <row r="82" spans="1:7">
      <c r="B82" s="45" t="s">
        <v>358</v>
      </c>
      <c r="C82" s="45" t="s">
        <v>288</v>
      </c>
      <c r="D82" s="45">
        <v>0</v>
      </c>
      <c r="E82" s="45">
        <v>0</v>
      </c>
      <c r="F82" s="45" t="s">
        <v>286</v>
      </c>
    </row>
    <row r="83" spans="1:7">
      <c r="B83" s="45" t="s">
        <v>359</v>
      </c>
      <c r="C83" s="45" t="s">
        <v>290</v>
      </c>
      <c r="D83" s="45">
        <v>0</v>
      </c>
      <c r="E83" s="45">
        <v>0</v>
      </c>
      <c r="F83" s="45" t="s">
        <v>286</v>
      </c>
    </row>
    <row r="84" spans="1:7">
      <c r="B84" s="45" t="s">
        <v>360</v>
      </c>
      <c r="C84" s="45" t="s">
        <v>292</v>
      </c>
      <c r="D84" s="45">
        <v>0</v>
      </c>
      <c r="E84" s="45">
        <v>0</v>
      </c>
      <c r="F84" s="45" t="s">
        <v>286</v>
      </c>
    </row>
    <row r="85" spans="1:7">
      <c r="B85" s="45" t="s">
        <v>361</v>
      </c>
      <c r="C85" s="45" t="s">
        <v>294</v>
      </c>
      <c r="D85" s="45">
        <v>0</v>
      </c>
      <c r="E85" s="45">
        <v>0</v>
      </c>
      <c r="F85" s="45" t="s">
        <v>286</v>
      </c>
    </row>
    <row r="86" spans="1:7">
      <c r="B86" s="45" t="s">
        <v>362</v>
      </c>
      <c r="C86" s="45" t="s">
        <v>296</v>
      </c>
      <c r="D86" s="45">
        <v>0</v>
      </c>
      <c r="E86" s="45">
        <v>0</v>
      </c>
      <c r="F86" s="45" t="s">
        <v>286</v>
      </c>
    </row>
    <row r="87" spans="1:7">
      <c r="B87" s="45" t="s">
        <v>363</v>
      </c>
      <c r="C87" s="45" t="s">
        <v>298</v>
      </c>
      <c r="D87" s="45">
        <v>0</v>
      </c>
      <c r="E87" s="45">
        <v>0</v>
      </c>
      <c r="F87" s="45" t="s">
        <v>286</v>
      </c>
    </row>
    <row r="88" spans="1:7">
      <c r="B88" s="45" t="s">
        <v>364</v>
      </c>
      <c r="C88" s="45" t="s">
        <v>300</v>
      </c>
      <c r="D88" s="45">
        <v>0</v>
      </c>
      <c r="E88" s="45">
        <v>0</v>
      </c>
      <c r="F88" s="45" t="s">
        <v>286</v>
      </c>
    </row>
    <row r="89" spans="1:7">
      <c r="B89" s="45" t="s">
        <v>365</v>
      </c>
      <c r="C89" s="45" t="s">
        <v>302</v>
      </c>
      <c r="D89" s="45">
        <v>0</v>
      </c>
      <c r="E89" s="45">
        <v>0</v>
      </c>
      <c r="F89" s="45" t="s">
        <v>286</v>
      </c>
    </row>
    <row r="90" spans="1:7">
      <c r="B90" s="45" t="s">
        <v>366</v>
      </c>
      <c r="C90" s="45" t="s">
        <v>304</v>
      </c>
      <c r="D90" s="45">
        <v>0</v>
      </c>
      <c r="E90" s="45">
        <v>0</v>
      </c>
      <c r="F90" s="45" t="s">
        <v>286</v>
      </c>
    </row>
    <row r="91" spans="1:7">
      <c r="B91" s="45" t="s">
        <v>367</v>
      </c>
      <c r="C91" s="45" t="s">
        <v>306</v>
      </c>
      <c r="D91" s="45">
        <v>0</v>
      </c>
      <c r="E91" s="45">
        <v>0</v>
      </c>
      <c r="F91" s="45" t="s">
        <v>286</v>
      </c>
    </row>
    <row r="92" spans="1:7" ht="15" thickBot="1">
      <c r="B92" s="43" t="s">
        <v>368</v>
      </c>
      <c r="C92" s="43" t="s">
        <v>308</v>
      </c>
      <c r="D92" s="43">
        <v>0</v>
      </c>
      <c r="E92" s="43">
        <v>0</v>
      </c>
      <c r="F92" s="43" t="s">
        <v>286</v>
      </c>
    </row>
    <row r="95" spans="1:7" ht="15" thickBot="1">
      <c r="A95" t="s">
        <v>369</v>
      </c>
    </row>
    <row r="96" spans="1:7" ht="15" thickBot="1">
      <c r="B96" s="44" t="s">
        <v>276</v>
      </c>
      <c r="C96" s="44" t="s">
        <v>277</v>
      </c>
      <c r="D96" s="44" t="s">
        <v>370</v>
      </c>
      <c r="E96" s="44" t="s">
        <v>371</v>
      </c>
      <c r="F96" s="44" t="s">
        <v>372</v>
      </c>
      <c r="G96" s="44" t="s">
        <v>373</v>
      </c>
    </row>
    <row r="97" spans="2:7">
      <c r="B97" s="45" t="s">
        <v>374</v>
      </c>
      <c r="C97" s="45" t="s">
        <v>285</v>
      </c>
      <c r="D97" s="45">
        <v>313</v>
      </c>
      <c r="E97" s="45" t="s">
        <v>375</v>
      </c>
      <c r="F97" s="45" t="s">
        <v>376</v>
      </c>
      <c r="G97" s="45">
        <v>0</v>
      </c>
    </row>
    <row r="98" spans="2:7">
      <c r="B98" s="45" t="s">
        <v>377</v>
      </c>
      <c r="C98" s="45" t="s">
        <v>288</v>
      </c>
      <c r="D98" s="45">
        <v>281</v>
      </c>
      <c r="E98" s="45" t="s">
        <v>378</v>
      </c>
      <c r="F98" s="45" t="s">
        <v>376</v>
      </c>
      <c r="G98" s="45">
        <v>0</v>
      </c>
    </row>
    <row r="99" spans="2:7">
      <c r="B99" s="45" t="s">
        <v>379</v>
      </c>
      <c r="C99" s="45" t="s">
        <v>290</v>
      </c>
      <c r="D99" s="45">
        <v>275</v>
      </c>
      <c r="E99" s="45" t="s">
        <v>380</v>
      </c>
      <c r="F99" s="45" t="s">
        <v>376</v>
      </c>
      <c r="G99" s="45">
        <v>0</v>
      </c>
    </row>
    <row r="100" spans="2:7">
      <c r="B100" s="45" t="s">
        <v>381</v>
      </c>
      <c r="C100" s="45" t="s">
        <v>292</v>
      </c>
      <c r="D100" s="45">
        <v>212.00000000000003</v>
      </c>
      <c r="E100" s="45" t="s">
        <v>382</v>
      </c>
      <c r="F100" s="45" t="s">
        <v>376</v>
      </c>
      <c r="G100" s="45">
        <v>0</v>
      </c>
    </row>
    <row r="101" spans="2:7">
      <c r="B101" s="45" t="s">
        <v>383</v>
      </c>
      <c r="C101" s="45" t="s">
        <v>294</v>
      </c>
      <c r="D101" s="45">
        <v>226</v>
      </c>
      <c r="E101" s="45" t="s">
        <v>384</v>
      </c>
      <c r="F101" s="45" t="s">
        <v>376</v>
      </c>
      <c r="G101" s="45">
        <v>0</v>
      </c>
    </row>
    <row r="102" spans="2:7">
      <c r="B102" s="45" t="s">
        <v>385</v>
      </c>
      <c r="C102" s="45" t="s">
        <v>296</v>
      </c>
      <c r="D102" s="45">
        <v>243.00000000000006</v>
      </c>
      <c r="E102" s="45" t="s">
        <v>386</v>
      </c>
      <c r="F102" s="45" t="s">
        <v>376</v>
      </c>
      <c r="G102" s="45">
        <v>0</v>
      </c>
    </row>
    <row r="103" spans="2:7">
      <c r="B103" s="45" t="s">
        <v>387</v>
      </c>
      <c r="C103" s="45" t="s">
        <v>298</v>
      </c>
      <c r="D103" s="45">
        <v>257.00000000000006</v>
      </c>
      <c r="E103" s="45" t="s">
        <v>388</v>
      </c>
      <c r="F103" s="45" t="s">
        <v>376</v>
      </c>
      <c r="G103" s="45">
        <v>0</v>
      </c>
    </row>
    <row r="104" spans="2:7">
      <c r="B104" s="45" t="s">
        <v>389</v>
      </c>
      <c r="C104" s="45" t="s">
        <v>300</v>
      </c>
      <c r="D104" s="45">
        <v>228.99999999999997</v>
      </c>
      <c r="E104" s="45" t="s">
        <v>390</v>
      </c>
      <c r="F104" s="45" t="s">
        <v>376</v>
      </c>
      <c r="G104" s="45">
        <v>0</v>
      </c>
    </row>
    <row r="105" spans="2:7">
      <c r="B105" s="45" t="s">
        <v>391</v>
      </c>
      <c r="C105" s="45" t="s">
        <v>302</v>
      </c>
      <c r="D105" s="45">
        <v>218.00000000000003</v>
      </c>
      <c r="E105" s="45" t="s">
        <v>392</v>
      </c>
      <c r="F105" s="45" t="s">
        <v>376</v>
      </c>
      <c r="G105" s="45">
        <v>0</v>
      </c>
    </row>
    <row r="106" spans="2:7">
      <c r="B106" s="45" t="s">
        <v>393</v>
      </c>
      <c r="C106" s="45" t="s">
        <v>304</v>
      </c>
      <c r="D106" s="45">
        <v>248.00000000000006</v>
      </c>
      <c r="E106" s="45" t="s">
        <v>394</v>
      </c>
      <c r="F106" s="45" t="s">
        <v>376</v>
      </c>
      <c r="G106" s="45">
        <v>0</v>
      </c>
    </row>
    <row r="107" spans="2:7">
      <c r="B107" s="45" t="s">
        <v>395</v>
      </c>
      <c r="C107" s="45" t="s">
        <v>306</v>
      </c>
      <c r="D107" s="45">
        <v>271.00000000000006</v>
      </c>
      <c r="E107" s="45" t="s">
        <v>396</v>
      </c>
      <c r="F107" s="45" t="s">
        <v>376</v>
      </c>
      <c r="G107" s="45">
        <v>0</v>
      </c>
    </row>
    <row r="108" spans="2:7">
      <c r="B108" s="45" t="s">
        <v>397</v>
      </c>
      <c r="C108" s="45" t="s">
        <v>308</v>
      </c>
      <c r="D108" s="45">
        <v>307.00000000000006</v>
      </c>
      <c r="E108" s="45" t="s">
        <v>398</v>
      </c>
      <c r="F108" s="45" t="s">
        <v>376</v>
      </c>
      <c r="G108" s="45">
        <v>0</v>
      </c>
    </row>
    <row r="109" spans="2:7">
      <c r="B109" s="45" t="s">
        <v>399</v>
      </c>
      <c r="C109" s="45" t="s">
        <v>285</v>
      </c>
      <c r="D109" s="45">
        <v>43.73152202184523</v>
      </c>
      <c r="E109" s="45" t="s">
        <v>400</v>
      </c>
      <c r="F109" s="45" t="s">
        <v>376</v>
      </c>
      <c r="G109" s="45">
        <v>0</v>
      </c>
    </row>
    <row r="110" spans="2:7">
      <c r="B110" s="45" t="s">
        <v>401</v>
      </c>
      <c r="C110" s="45" t="s">
        <v>288</v>
      </c>
      <c r="D110" s="45">
        <v>45.017143524919135</v>
      </c>
      <c r="E110" s="45" t="s">
        <v>402</v>
      </c>
      <c r="F110" s="45" t="s">
        <v>376</v>
      </c>
      <c r="G110" s="45">
        <v>0</v>
      </c>
    </row>
    <row r="111" spans="2:7">
      <c r="B111" s="45" t="s">
        <v>403</v>
      </c>
      <c r="C111" s="45" t="s">
        <v>290</v>
      </c>
      <c r="D111" s="45">
        <v>50.55435326597533</v>
      </c>
      <c r="E111" s="45" t="s">
        <v>404</v>
      </c>
      <c r="F111" s="45" t="s">
        <v>376</v>
      </c>
      <c r="G111" s="45">
        <v>0</v>
      </c>
    </row>
    <row r="112" spans="2:7">
      <c r="B112" s="45" t="s">
        <v>405</v>
      </c>
      <c r="C112" s="45" t="s">
        <v>292</v>
      </c>
      <c r="D112" s="45">
        <v>43.050760614089043</v>
      </c>
      <c r="E112" s="45" t="s">
        <v>406</v>
      </c>
      <c r="F112" s="45" t="s">
        <v>376</v>
      </c>
      <c r="G112" s="45">
        <v>0</v>
      </c>
    </row>
    <row r="113" spans="2:7">
      <c r="B113" s="45" t="s">
        <v>407</v>
      </c>
      <c r="C113" s="45" t="s">
        <v>294</v>
      </c>
      <c r="D113" s="45">
        <v>42.619605020505354</v>
      </c>
      <c r="E113" s="45" t="s">
        <v>408</v>
      </c>
      <c r="F113" s="45" t="s">
        <v>376</v>
      </c>
      <c r="G113" s="45">
        <v>0</v>
      </c>
    </row>
    <row r="114" spans="2:7">
      <c r="B114" s="45" t="s">
        <v>409</v>
      </c>
      <c r="C114" s="45" t="s">
        <v>296</v>
      </c>
      <c r="D114" s="45">
        <v>43.296487967552999</v>
      </c>
      <c r="E114" s="45" t="s">
        <v>410</v>
      </c>
      <c r="F114" s="45" t="s">
        <v>376</v>
      </c>
      <c r="G114" s="45">
        <v>0</v>
      </c>
    </row>
    <row r="115" spans="2:7">
      <c r="B115" s="45" t="s">
        <v>411</v>
      </c>
      <c r="C115" s="45" t="s">
        <v>298</v>
      </c>
      <c r="D115" s="45">
        <v>42.432940341478229</v>
      </c>
      <c r="E115" s="45" t="s">
        <v>412</v>
      </c>
      <c r="F115" s="45" t="s">
        <v>376</v>
      </c>
      <c r="G115" s="45">
        <v>0</v>
      </c>
    </row>
    <row r="116" spans="2:7">
      <c r="B116" s="45" t="s">
        <v>413</v>
      </c>
      <c r="C116" s="45" t="s">
        <v>300</v>
      </c>
      <c r="D116" s="45">
        <v>42.218665219869536</v>
      </c>
      <c r="E116" s="45" t="s">
        <v>414</v>
      </c>
      <c r="F116" s="45" t="s">
        <v>376</v>
      </c>
      <c r="G116" s="45">
        <v>0</v>
      </c>
    </row>
    <row r="117" spans="2:7">
      <c r="B117" s="45" t="s">
        <v>415</v>
      </c>
      <c r="C117" s="45" t="s">
        <v>302</v>
      </c>
      <c r="D117" s="45">
        <v>42.191476392982509</v>
      </c>
      <c r="E117" s="45" t="s">
        <v>416</v>
      </c>
      <c r="F117" s="45" t="s">
        <v>376</v>
      </c>
      <c r="G117" s="45">
        <v>0</v>
      </c>
    </row>
    <row r="118" spans="2:7">
      <c r="B118" s="45" t="s">
        <v>417</v>
      </c>
      <c r="C118" s="45" t="s">
        <v>304</v>
      </c>
      <c r="D118" s="45">
        <v>42.758040682126243</v>
      </c>
      <c r="E118" s="45" t="s">
        <v>418</v>
      </c>
      <c r="F118" s="45" t="s">
        <v>376</v>
      </c>
      <c r="G118" s="45">
        <v>0</v>
      </c>
    </row>
    <row r="119" spans="2:7">
      <c r="B119" s="45" t="s">
        <v>419</v>
      </c>
      <c r="C119" s="45" t="s">
        <v>306</v>
      </c>
      <c r="D119" s="45">
        <v>44.175761079367398</v>
      </c>
      <c r="E119" s="45" t="s">
        <v>420</v>
      </c>
      <c r="F119" s="45" t="s">
        <v>376</v>
      </c>
      <c r="G119" s="45">
        <v>0</v>
      </c>
    </row>
    <row r="120" spans="2:7">
      <c r="B120" s="45" t="s">
        <v>421</v>
      </c>
      <c r="C120" s="45" t="s">
        <v>308</v>
      </c>
      <c r="D120" s="45">
        <v>45.111472099393971</v>
      </c>
      <c r="E120" s="45" t="s">
        <v>422</v>
      </c>
      <c r="F120" s="45" t="s">
        <v>376</v>
      </c>
      <c r="G120" s="45">
        <v>0</v>
      </c>
    </row>
    <row r="121" spans="2:7">
      <c r="B121" s="45" t="s">
        <v>423</v>
      </c>
      <c r="C121" s="45" t="s">
        <v>285</v>
      </c>
      <c r="D121" s="45">
        <v>14.82</v>
      </c>
      <c r="E121" s="45" t="s">
        <v>424</v>
      </c>
      <c r="F121" s="45" t="s">
        <v>376</v>
      </c>
      <c r="G121" s="45">
        <v>0</v>
      </c>
    </row>
    <row r="122" spans="2:7">
      <c r="B122" s="45" t="s">
        <v>425</v>
      </c>
      <c r="C122" s="45" t="s">
        <v>288</v>
      </c>
      <c r="D122" s="45">
        <v>14.84</v>
      </c>
      <c r="E122" s="45" t="s">
        <v>426</v>
      </c>
      <c r="F122" s="45" t="s">
        <v>376</v>
      </c>
      <c r="G122" s="45">
        <v>0</v>
      </c>
    </row>
    <row r="123" spans="2:7">
      <c r="B123" s="45" t="s">
        <v>427</v>
      </c>
      <c r="C123" s="45" t="s">
        <v>290</v>
      </c>
      <c r="D123" s="45">
        <v>27.58</v>
      </c>
      <c r="E123" s="45" t="s">
        <v>428</v>
      </c>
      <c r="F123" s="45" t="s">
        <v>376</v>
      </c>
      <c r="G123" s="45">
        <v>0</v>
      </c>
    </row>
    <row r="124" spans="2:7">
      <c r="B124" s="45" t="s">
        <v>429</v>
      </c>
      <c r="C124" s="45" t="s">
        <v>292</v>
      </c>
      <c r="D124" s="45">
        <v>18.149999999999999</v>
      </c>
      <c r="E124" s="45" t="s">
        <v>430</v>
      </c>
      <c r="F124" s="45" t="s">
        <v>376</v>
      </c>
      <c r="G124" s="45">
        <v>0</v>
      </c>
    </row>
    <row r="125" spans="2:7">
      <c r="B125" s="45" t="s">
        <v>431</v>
      </c>
      <c r="C125" s="45" t="s">
        <v>294</v>
      </c>
      <c r="D125" s="45">
        <v>8.33</v>
      </c>
      <c r="E125" s="45" t="s">
        <v>432</v>
      </c>
      <c r="F125" s="45" t="s">
        <v>376</v>
      </c>
      <c r="G125" s="45">
        <v>0</v>
      </c>
    </row>
    <row r="126" spans="2:7">
      <c r="B126" s="45" t="s">
        <v>433</v>
      </c>
      <c r="C126" s="45" t="s">
        <v>296</v>
      </c>
      <c r="D126" s="45">
        <v>6.01</v>
      </c>
      <c r="E126" s="45" t="s">
        <v>434</v>
      </c>
      <c r="F126" s="45" t="s">
        <v>376</v>
      </c>
      <c r="G126" s="45">
        <v>0</v>
      </c>
    </row>
    <row r="127" spans="2:7">
      <c r="B127" s="45" t="s">
        <v>435</v>
      </c>
      <c r="C127" s="45" t="s">
        <v>298</v>
      </c>
      <c r="D127" s="45">
        <v>6.18</v>
      </c>
      <c r="E127" s="45" t="s">
        <v>436</v>
      </c>
      <c r="F127" s="45" t="s">
        <v>376</v>
      </c>
      <c r="G127" s="45">
        <v>0</v>
      </c>
    </row>
    <row r="128" spans="2:7">
      <c r="B128" s="45" t="s">
        <v>437</v>
      </c>
      <c r="C128" s="45" t="s">
        <v>300</v>
      </c>
      <c r="D128" s="45">
        <v>7.81</v>
      </c>
      <c r="E128" s="45" t="s">
        <v>438</v>
      </c>
      <c r="F128" s="45" t="s">
        <v>376</v>
      </c>
      <c r="G128" s="45">
        <v>0</v>
      </c>
    </row>
    <row r="129" spans="2:7">
      <c r="B129" s="45" t="s">
        <v>439</v>
      </c>
      <c r="C129" s="45" t="s">
        <v>302</v>
      </c>
      <c r="D129" s="45">
        <v>10.24</v>
      </c>
      <c r="E129" s="45" t="s">
        <v>440</v>
      </c>
      <c r="F129" s="45" t="s">
        <v>376</v>
      </c>
      <c r="G129" s="45">
        <v>0</v>
      </c>
    </row>
    <row r="130" spans="2:7">
      <c r="B130" s="45" t="s">
        <v>441</v>
      </c>
      <c r="C130" s="45" t="s">
        <v>304</v>
      </c>
      <c r="D130" s="45">
        <v>13.91</v>
      </c>
      <c r="E130" s="45" t="s">
        <v>442</v>
      </c>
      <c r="F130" s="45" t="s">
        <v>376</v>
      </c>
      <c r="G130" s="45">
        <v>0</v>
      </c>
    </row>
    <row r="131" spans="2:7">
      <c r="B131" s="45" t="s">
        <v>443</v>
      </c>
      <c r="C131" s="45" t="s">
        <v>306</v>
      </c>
      <c r="D131" s="45">
        <v>17.78</v>
      </c>
      <c r="E131" s="45" t="s">
        <v>444</v>
      </c>
      <c r="F131" s="45" t="s">
        <v>376</v>
      </c>
      <c r="G131" s="45">
        <v>0</v>
      </c>
    </row>
    <row r="132" spans="2:7">
      <c r="B132" s="45" t="s">
        <v>445</v>
      </c>
      <c r="C132" s="45" t="s">
        <v>308</v>
      </c>
      <c r="D132" s="45">
        <v>19.7</v>
      </c>
      <c r="E132" s="45" t="s">
        <v>446</v>
      </c>
      <c r="F132" s="45" t="s">
        <v>376</v>
      </c>
      <c r="G132" s="45">
        <v>0</v>
      </c>
    </row>
    <row r="133" spans="2:7">
      <c r="B133" s="45" t="s">
        <v>447</v>
      </c>
      <c r="C133" s="45" t="s">
        <v>285</v>
      </c>
      <c r="D133" s="45">
        <v>0</v>
      </c>
      <c r="E133" s="45" t="s">
        <v>448</v>
      </c>
      <c r="F133" s="45" t="s">
        <v>376</v>
      </c>
      <c r="G133" s="45">
        <v>0</v>
      </c>
    </row>
    <row r="134" spans="2:7">
      <c r="B134" s="45" t="s">
        <v>449</v>
      </c>
      <c r="C134" s="45" t="s">
        <v>288</v>
      </c>
      <c r="D134" s="45">
        <v>0</v>
      </c>
      <c r="E134" s="45" t="s">
        <v>450</v>
      </c>
      <c r="F134" s="45" t="s">
        <v>376</v>
      </c>
      <c r="G134" s="45">
        <v>0</v>
      </c>
    </row>
    <row r="135" spans="2:7">
      <c r="B135" s="45" t="s">
        <v>451</v>
      </c>
      <c r="C135" s="45" t="s">
        <v>290</v>
      </c>
      <c r="D135" s="45">
        <v>0</v>
      </c>
      <c r="E135" s="45" t="s">
        <v>452</v>
      </c>
      <c r="F135" s="45" t="s">
        <v>376</v>
      </c>
      <c r="G135" s="45">
        <v>0</v>
      </c>
    </row>
    <row r="136" spans="2:7">
      <c r="B136" s="45" t="s">
        <v>453</v>
      </c>
      <c r="C136" s="45" t="s">
        <v>292</v>
      </c>
      <c r="D136" s="45">
        <v>0.54</v>
      </c>
      <c r="E136" s="45" t="s">
        <v>454</v>
      </c>
      <c r="F136" s="45" t="s">
        <v>376</v>
      </c>
      <c r="G136" s="45">
        <v>0</v>
      </c>
    </row>
    <row r="137" spans="2:7">
      <c r="B137" s="45" t="s">
        <v>455</v>
      </c>
      <c r="C137" s="45" t="s">
        <v>294</v>
      </c>
      <c r="D137" s="45">
        <v>5.92</v>
      </c>
      <c r="E137" s="45" t="s">
        <v>456</v>
      </c>
      <c r="F137" s="45" t="s">
        <v>376</v>
      </c>
      <c r="G137" s="45">
        <v>0</v>
      </c>
    </row>
    <row r="138" spans="2:7">
      <c r="B138" s="45" t="s">
        <v>457</v>
      </c>
      <c r="C138" s="45" t="s">
        <v>296</v>
      </c>
      <c r="D138" s="45">
        <v>11.49</v>
      </c>
      <c r="E138" s="45" t="s">
        <v>458</v>
      </c>
      <c r="F138" s="45" t="s">
        <v>376</v>
      </c>
      <c r="G138" s="45">
        <v>0</v>
      </c>
    </row>
    <row r="139" spans="2:7">
      <c r="B139" s="45" t="s">
        <v>459</v>
      </c>
      <c r="C139" s="45" t="s">
        <v>298</v>
      </c>
      <c r="D139" s="45">
        <v>10.67</v>
      </c>
      <c r="E139" s="45" t="s">
        <v>460</v>
      </c>
      <c r="F139" s="45" t="s">
        <v>376</v>
      </c>
      <c r="G139" s="45">
        <v>0</v>
      </c>
    </row>
    <row r="140" spans="2:7">
      <c r="B140" s="45" t="s">
        <v>461</v>
      </c>
      <c r="C140" s="45" t="s">
        <v>300</v>
      </c>
      <c r="D140" s="45">
        <v>10.17</v>
      </c>
      <c r="E140" s="45" t="s">
        <v>462</v>
      </c>
      <c r="F140" s="45" t="s">
        <v>376</v>
      </c>
      <c r="G140" s="45">
        <v>0</v>
      </c>
    </row>
    <row r="141" spans="2:7">
      <c r="B141" s="45" t="s">
        <v>463</v>
      </c>
      <c r="C141" s="45" t="s">
        <v>302</v>
      </c>
      <c r="D141" s="45">
        <v>8.07</v>
      </c>
      <c r="E141" s="45" t="s">
        <v>464</v>
      </c>
      <c r="F141" s="45" t="s">
        <v>376</v>
      </c>
      <c r="G141" s="45">
        <v>0</v>
      </c>
    </row>
    <row r="142" spans="2:7">
      <c r="B142" s="45" t="s">
        <v>465</v>
      </c>
      <c r="C142" s="45" t="s">
        <v>304</v>
      </c>
      <c r="D142" s="45">
        <v>7.47</v>
      </c>
      <c r="E142" s="45" t="s">
        <v>466</v>
      </c>
      <c r="F142" s="45" t="s">
        <v>376</v>
      </c>
      <c r="G142" s="45">
        <v>0</v>
      </c>
    </row>
    <row r="143" spans="2:7">
      <c r="B143" s="45" t="s">
        <v>467</v>
      </c>
      <c r="C143" s="45" t="s">
        <v>306</v>
      </c>
      <c r="D143" s="45">
        <v>4.82</v>
      </c>
      <c r="E143" s="45" t="s">
        <v>468</v>
      </c>
      <c r="F143" s="45" t="s">
        <v>376</v>
      </c>
      <c r="G143" s="45">
        <v>0</v>
      </c>
    </row>
    <row r="144" spans="2:7">
      <c r="B144" s="45" t="s">
        <v>469</v>
      </c>
      <c r="C144" s="45" t="s">
        <v>308</v>
      </c>
      <c r="D144" s="45">
        <v>0.91</v>
      </c>
      <c r="E144" s="45" t="s">
        <v>470</v>
      </c>
      <c r="F144" s="45" t="s">
        <v>376</v>
      </c>
      <c r="G144" s="45">
        <v>0</v>
      </c>
    </row>
    <row r="145" spans="2:7">
      <c r="B145" s="45" t="s">
        <v>471</v>
      </c>
      <c r="C145" s="45" t="s">
        <v>285</v>
      </c>
      <c r="D145" s="45">
        <v>0.42</v>
      </c>
      <c r="E145" s="45" t="s">
        <v>472</v>
      </c>
      <c r="F145" s="45" t="s">
        <v>376</v>
      </c>
      <c r="G145" s="45">
        <v>0</v>
      </c>
    </row>
    <row r="146" spans="2:7">
      <c r="B146" s="45" t="s">
        <v>473</v>
      </c>
      <c r="C146" s="45" t="s">
        <v>288</v>
      </c>
      <c r="D146" s="45">
        <v>0.4</v>
      </c>
      <c r="E146" s="45" t="s">
        <v>474</v>
      </c>
      <c r="F146" s="45" t="s">
        <v>376</v>
      </c>
      <c r="G146" s="45">
        <v>0</v>
      </c>
    </row>
    <row r="147" spans="2:7">
      <c r="B147" s="45" t="s">
        <v>475</v>
      </c>
      <c r="C147" s="45" t="s">
        <v>290</v>
      </c>
      <c r="D147" s="45">
        <v>0.64</v>
      </c>
      <c r="E147" s="45" t="s">
        <v>476</v>
      </c>
      <c r="F147" s="45" t="s">
        <v>376</v>
      </c>
      <c r="G147" s="45">
        <v>0</v>
      </c>
    </row>
    <row r="148" spans="2:7">
      <c r="B148" s="45" t="s">
        <v>477</v>
      </c>
      <c r="C148" s="45" t="s">
        <v>292</v>
      </c>
      <c r="D148" s="45">
        <v>1.03</v>
      </c>
      <c r="E148" s="45" t="s">
        <v>478</v>
      </c>
      <c r="F148" s="45" t="s">
        <v>376</v>
      </c>
      <c r="G148" s="45">
        <v>0</v>
      </c>
    </row>
    <row r="149" spans="2:7">
      <c r="B149" s="45" t="s">
        <v>479</v>
      </c>
      <c r="C149" s="45" t="s">
        <v>294</v>
      </c>
      <c r="D149" s="45">
        <v>1.99</v>
      </c>
      <c r="E149" s="45" t="s">
        <v>480</v>
      </c>
      <c r="F149" s="45" t="s">
        <v>376</v>
      </c>
      <c r="G149" s="45">
        <v>0</v>
      </c>
    </row>
    <row r="150" spans="2:7">
      <c r="B150" s="45" t="s">
        <v>481</v>
      </c>
      <c r="C150" s="45" t="s">
        <v>296</v>
      </c>
      <c r="D150" s="45">
        <v>2.0499999999999998</v>
      </c>
      <c r="E150" s="45" t="s">
        <v>482</v>
      </c>
      <c r="F150" s="45" t="s">
        <v>376</v>
      </c>
      <c r="G150" s="45">
        <v>0</v>
      </c>
    </row>
    <row r="151" spans="2:7">
      <c r="B151" s="45" t="s">
        <v>483</v>
      </c>
      <c r="C151" s="45" t="s">
        <v>298</v>
      </c>
      <c r="D151" s="45">
        <v>1.93</v>
      </c>
      <c r="E151" s="45" t="s">
        <v>484</v>
      </c>
      <c r="F151" s="45" t="s">
        <v>376</v>
      </c>
      <c r="G151" s="45">
        <v>0</v>
      </c>
    </row>
    <row r="152" spans="2:7">
      <c r="B152" s="45" t="s">
        <v>485</v>
      </c>
      <c r="C152" s="45" t="s">
        <v>300</v>
      </c>
      <c r="D152" s="45">
        <v>1.99</v>
      </c>
      <c r="E152" s="45" t="s">
        <v>486</v>
      </c>
      <c r="F152" s="45" t="s">
        <v>376</v>
      </c>
      <c r="G152" s="45">
        <v>0</v>
      </c>
    </row>
    <row r="153" spans="2:7">
      <c r="B153" s="45" t="s">
        <v>487</v>
      </c>
      <c r="C153" s="45" t="s">
        <v>302</v>
      </c>
      <c r="D153" s="45">
        <v>1.41</v>
      </c>
      <c r="E153" s="45" t="s">
        <v>488</v>
      </c>
      <c r="F153" s="45" t="s">
        <v>376</v>
      </c>
      <c r="G153" s="45">
        <v>0</v>
      </c>
    </row>
    <row r="154" spans="2:7">
      <c r="B154" s="45" t="s">
        <v>489</v>
      </c>
      <c r="C154" s="45" t="s">
        <v>304</v>
      </c>
      <c r="D154" s="45">
        <v>0.69</v>
      </c>
      <c r="E154" s="45" t="s">
        <v>490</v>
      </c>
      <c r="F154" s="45" t="s">
        <v>376</v>
      </c>
      <c r="G154" s="45">
        <v>0</v>
      </c>
    </row>
    <row r="155" spans="2:7">
      <c r="B155" s="45" t="s">
        <v>491</v>
      </c>
      <c r="C155" s="45" t="s">
        <v>306</v>
      </c>
      <c r="D155" s="45">
        <v>0.67</v>
      </c>
      <c r="E155" s="45" t="s">
        <v>492</v>
      </c>
      <c r="F155" s="45" t="s">
        <v>376</v>
      </c>
      <c r="G155" s="45">
        <v>0</v>
      </c>
    </row>
    <row r="156" spans="2:7">
      <c r="B156" s="45" t="s">
        <v>493</v>
      </c>
      <c r="C156" s="45" t="s">
        <v>308</v>
      </c>
      <c r="D156" s="45">
        <v>0.62</v>
      </c>
      <c r="E156" s="45" t="s">
        <v>494</v>
      </c>
      <c r="F156" s="45" t="s">
        <v>376</v>
      </c>
      <c r="G156" s="45">
        <v>0</v>
      </c>
    </row>
    <row r="157" spans="2:7">
      <c r="B157" s="45" t="s">
        <v>495</v>
      </c>
      <c r="C157" s="45" t="s">
        <v>285</v>
      </c>
      <c r="D157" s="45">
        <v>324.3523316062176</v>
      </c>
      <c r="E157" s="45" t="s">
        <v>496</v>
      </c>
      <c r="F157" s="45" t="s">
        <v>497</v>
      </c>
      <c r="G157" s="45">
        <v>478.80766839378236</v>
      </c>
    </row>
    <row r="158" spans="2:7">
      <c r="B158" s="45" t="s">
        <v>498</v>
      </c>
      <c r="C158" s="45" t="s">
        <v>288</v>
      </c>
      <c r="D158" s="45">
        <v>291.19170984455957</v>
      </c>
      <c r="E158" s="45" t="s">
        <v>499</v>
      </c>
      <c r="F158" s="45" t="s">
        <v>497</v>
      </c>
      <c r="G158" s="45">
        <v>511.9682901554404</v>
      </c>
    </row>
    <row r="159" spans="2:7">
      <c r="B159" s="45" t="s">
        <v>500</v>
      </c>
      <c r="C159" s="45" t="s">
        <v>290</v>
      </c>
      <c r="D159" s="45">
        <v>284.97409326424872</v>
      </c>
      <c r="E159" s="45" t="s">
        <v>501</v>
      </c>
      <c r="F159" s="45" t="s">
        <v>497</v>
      </c>
      <c r="G159" s="45">
        <v>518.18590673575125</v>
      </c>
    </row>
    <row r="160" spans="2:7">
      <c r="B160" s="45" t="s">
        <v>502</v>
      </c>
      <c r="C160" s="45" t="s">
        <v>292</v>
      </c>
      <c r="D160" s="45">
        <v>219.6891191709845</v>
      </c>
      <c r="E160" s="45" t="s">
        <v>503</v>
      </c>
      <c r="F160" s="45" t="s">
        <v>497</v>
      </c>
      <c r="G160" s="45">
        <v>583.47088082901541</v>
      </c>
    </row>
    <row r="161" spans="2:7">
      <c r="B161" s="45" t="s">
        <v>504</v>
      </c>
      <c r="C161" s="45" t="s">
        <v>294</v>
      </c>
      <c r="D161" s="45">
        <v>234.19689119170985</v>
      </c>
      <c r="E161" s="45" t="s">
        <v>505</v>
      </c>
      <c r="F161" s="45" t="s">
        <v>497</v>
      </c>
      <c r="G161" s="45">
        <v>568.96310880829014</v>
      </c>
    </row>
    <row r="162" spans="2:7">
      <c r="B162" s="45" t="s">
        <v>506</v>
      </c>
      <c r="C162" s="45" t="s">
        <v>296</v>
      </c>
      <c r="D162" s="45">
        <v>251.81347150259074</v>
      </c>
      <c r="E162" s="45" t="s">
        <v>507</v>
      </c>
      <c r="F162" s="45" t="s">
        <v>497</v>
      </c>
      <c r="G162" s="45">
        <v>551.34652849740928</v>
      </c>
    </row>
    <row r="163" spans="2:7">
      <c r="B163" s="45" t="s">
        <v>508</v>
      </c>
      <c r="C163" s="45" t="s">
        <v>298</v>
      </c>
      <c r="D163" s="45">
        <v>266.32124352331613</v>
      </c>
      <c r="E163" s="45" t="s">
        <v>509</v>
      </c>
      <c r="F163" s="45" t="s">
        <v>497</v>
      </c>
      <c r="G163" s="45">
        <v>536.83875647668378</v>
      </c>
    </row>
    <row r="164" spans="2:7">
      <c r="B164" s="45" t="s">
        <v>510</v>
      </c>
      <c r="C164" s="45" t="s">
        <v>300</v>
      </c>
      <c r="D164" s="45">
        <v>237.30569948186528</v>
      </c>
      <c r="E164" s="45" t="s">
        <v>511</v>
      </c>
      <c r="F164" s="45" t="s">
        <v>497</v>
      </c>
      <c r="G164" s="45">
        <v>565.85430051813466</v>
      </c>
    </row>
    <row r="165" spans="2:7">
      <c r="B165" s="45" t="s">
        <v>512</v>
      </c>
      <c r="C165" s="45" t="s">
        <v>302</v>
      </c>
      <c r="D165" s="45">
        <v>225.90673575129537</v>
      </c>
      <c r="E165" s="45" t="s">
        <v>513</v>
      </c>
      <c r="F165" s="45" t="s">
        <v>497</v>
      </c>
      <c r="G165" s="45">
        <v>577.25326424870457</v>
      </c>
    </row>
    <row r="166" spans="2:7">
      <c r="B166" s="45" t="s">
        <v>514</v>
      </c>
      <c r="C166" s="45" t="s">
        <v>304</v>
      </c>
      <c r="D166" s="45">
        <v>256.9948186528498</v>
      </c>
      <c r="E166" s="45" t="s">
        <v>515</v>
      </c>
      <c r="F166" s="45" t="s">
        <v>497</v>
      </c>
      <c r="G166" s="45">
        <v>546.16518134715011</v>
      </c>
    </row>
    <row r="167" spans="2:7">
      <c r="B167" s="45" t="s">
        <v>516</v>
      </c>
      <c r="C167" s="45" t="s">
        <v>306</v>
      </c>
      <c r="D167" s="45">
        <v>280.82901554404151</v>
      </c>
      <c r="E167" s="45" t="s">
        <v>517</v>
      </c>
      <c r="F167" s="45" t="s">
        <v>497</v>
      </c>
      <c r="G167" s="45">
        <v>522.33098445595851</v>
      </c>
    </row>
    <row r="168" spans="2:7" ht="15" thickBot="1">
      <c r="B168" s="43" t="s">
        <v>518</v>
      </c>
      <c r="C168" s="43" t="s">
        <v>308</v>
      </c>
      <c r="D168" s="43">
        <v>318.13471502590681</v>
      </c>
      <c r="E168" s="43" t="s">
        <v>519</v>
      </c>
      <c r="F168" s="43" t="s">
        <v>497</v>
      </c>
      <c r="G168" s="43">
        <v>485.02528497409315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D2688-301C-4275-B342-04A1D6C66208}">
  <sheetPr>
    <tabColor theme="9" tint="-0.249977111117893"/>
  </sheetPr>
  <dimension ref="A1:H156"/>
  <sheetViews>
    <sheetView showGridLines="0" topLeftCell="A138" workbookViewId="0">
      <selection activeCell="H147" sqref="H147"/>
    </sheetView>
  </sheetViews>
  <sheetFormatPr defaultColWidth="11.42578125" defaultRowHeight="14.45"/>
  <cols>
    <col min="1" max="1" width="2.28515625" customWidth="1"/>
    <col min="2" max="2" width="6.42578125" bestFit="1" customWidth="1"/>
    <col min="3" max="3" width="14.5703125" bestFit="1" customWidth="1"/>
    <col min="4" max="5" width="12" bestFit="1" customWidth="1"/>
    <col min="6" max="6" width="12.140625" bestFit="1" customWidth="1"/>
    <col min="7" max="8" width="12" bestFit="1" customWidth="1"/>
  </cols>
  <sheetData>
    <row r="1" spans="1:8">
      <c r="A1" s="4" t="s">
        <v>520</v>
      </c>
    </row>
    <row r="2" spans="1:8">
      <c r="A2" s="4" t="s">
        <v>265</v>
      </c>
    </row>
    <row r="3" spans="1:8">
      <c r="A3" s="4" t="s">
        <v>521</v>
      </c>
    </row>
    <row r="6" spans="1:8" ht="15" thickBot="1">
      <c r="A6" t="s">
        <v>282</v>
      </c>
    </row>
    <row r="7" spans="1:8">
      <c r="B7" s="46"/>
      <c r="C7" s="46"/>
      <c r="D7" s="46" t="s">
        <v>522</v>
      </c>
      <c r="E7" s="46" t="s">
        <v>523</v>
      </c>
      <c r="F7" s="46" t="s">
        <v>524</v>
      </c>
      <c r="G7" s="46" t="s">
        <v>525</v>
      </c>
      <c r="H7" s="46" t="s">
        <v>525</v>
      </c>
    </row>
    <row r="8" spans="1:8" ht="15" thickBot="1">
      <c r="B8" s="47" t="s">
        <v>276</v>
      </c>
      <c r="C8" s="47" t="s">
        <v>277</v>
      </c>
      <c r="D8" s="47" t="s">
        <v>27</v>
      </c>
      <c r="E8" s="47" t="s">
        <v>526</v>
      </c>
      <c r="F8" s="47" t="s">
        <v>527</v>
      </c>
      <c r="G8" s="47" t="s">
        <v>528</v>
      </c>
      <c r="H8" s="47" t="s">
        <v>529</v>
      </c>
    </row>
    <row r="9" spans="1:8">
      <c r="B9" s="45" t="s">
        <v>284</v>
      </c>
      <c r="C9" s="45" t="s">
        <v>285</v>
      </c>
      <c r="D9" s="45">
        <v>14.82</v>
      </c>
      <c r="E9" s="45">
        <v>0</v>
      </c>
      <c r="F9" s="45">
        <v>101930</v>
      </c>
      <c r="G9" s="45">
        <v>1E+30</v>
      </c>
      <c r="H9" s="45">
        <v>1E+30</v>
      </c>
    </row>
    <row r="10" spans="1:8">
      <c r="B10" s="45" t="s">
        <v>287</v>
      </c>
      <c r="C10" s="45" t="s">
        <v>288</v>
      </c>
      <c r="D10" s="45">
        <v>14.84</v>
      </c>
      <c r="E10" s="45">
        <v>0</v>
      </c>
      <c r="F10" s="45">
        <v>101930</v>
      </c>
      <c r="G10" s="45">
        <v>1E+30</v>
      </c>
      <c r="H10" s="45">
        <v>1E+30</v>
      </c>
    </row>
    <row r="11" spans="1:8">
      <c r="B11" s="45" t="s">
        <v>289</v>
      </c>
      <c r="C11" s="45" t="s">
        <v>290</v>
      </c>
      <c r="D11" s="45">
        <v>27.58</v>
      </c>
      <c r="E11" s="45">
        <v>0</v>
      </c>
      <c r="F11" s="45">
        <v>101930</v>
      </c>
      <c r="G11" s="45">
        <v>1E+30</v>
      </c>
      <c r="H11" s="45">
        <v>1E+30</v>
      </c>
    </row>
    <row r="12" spans="1:8">
      <c r="B12" s="45" t="s">
        <v>291</v>
      </c>
      <c r="C12" s="45" t="s">
        <v>292</v>
      </c>
      <c r="D12" s="45">
        <v>18.149999999999999</v>
      </c>
      <c r="E12" s="45">
        <v>0</v>
      </c>
      <c r="F12" s="45">
        <v>101930</v>
      </c>
      <c r="G12" s="45">
        <v>1E+30</v>
      </c>
      <c r="H12" s="45">
        <v>1E+30</v>
      </c>
    </row>
    <row r="13" spans="1:8">
      <c r="B13" s="45" t="s">
        <v>293</v>
      </c>
      <c r="C13" s="45" t="s">
        <v>294</v>
      </c>
      <c r="D13" s="45">
        <v>8.33</v>
      </c>
      <c r="E13" s="45">
        <v>0</v>
      </c>
      <c r="F13" s="45">
        <v>101930</v>
      </c>
      <c r="G13" s="45">
        <v>1E+30</v>
      </c>
      <c r="H13" s="45">
        <v>1E+30</v>
      </c>
    </row>
    <row r="14" spans="1:8">
      <c r="B14" s="45" t="s">
        <v>295</v>
      </c>
      <c r="C14" s="45" t="s">
        <v>296</v>
      </c>
      <c r="D14" s="45">
        <v>6.01</v>
      </c>
      <c r="E14" s="45">
        <v>0</v>
      </c>
      <c r="F14" s="45">
        <v>101930</v>
      </c>
      <c r="G14" s="45">
        <v>1E+30</v>
      </c>
      <c r="H14" s="45">
        <v>1E+30</v>
      </c>
    </row>
    <row r="15" spans="1:8">
      <c r="B15" s="45" t="s">
        <v>297</v>
      </c>
      <c r="C15" s="45" t="s">
        <v>298</v>
      </c>
      <c r="D15" s="45">
        <v>6.18</v>
      </c>
      <c r="E15" s="45">
        <v>0</v>
      </c>
      <c r="F15" s="45">
        <v>101930</v>
      </c>
      <c r="G15" s="45">
        <v>1E+30</v>
      </c>
      <c r="H15" s="45">
        <v>1E+30</v>
      </c>
    </row>
    <row r="16" spans="1:8">
      <c r="B16" s="45" t="s">
        <v>299</v>
      </c>
      <c r="C16" s="45" t="s">
        <v>300</v>
      </c>
      <c r="D16" s="45">
        <v>7.81</v>
      </c>
      <c r="E16" s="45">
        <v>0</v>
      </c>
      <c r="F16" s="45">
        <v>101930</v>
      </c>
      <c r="G16" s="45">
        <v>1E+30</v>
      </c>
      <c r="H16" s="45">
        <v>1E+30</v>
      </c>
    </row>
    <row r="17" spans="2:8">
      <c r="B17" s="45" t="s">
        <v>301</v>
      </c>
      <c r="C17" s="45" t="s">
        <v>302</v>
      </c>
      <c r="D17" s="45">
        <v>10.24</v>
      </c>
      <c r="E17" s="45">
        <v>0</v>
      </c>
      <c r="F17" s="45">
        <v>101930</v>
      </c>
      <c r="G17" s="45">
        <v>1E+30</v>
      </c>
      <c r="H17" s="45">
        <v>1E+30</v>
      </c>
    </row>
    <row r="18" spans="2:8">
      <c r="B18" s="45" t="s">
        <v>303</v>
      </c>
      <c r="C18" s="45" t="s">
        <v>304</v>
      </c>
      <c r="D18" s="45">
        <v>13.91</v>
      </c>
      <c r="E18" s="45">
        <v>0</v>
      </c>
      <c r="F18" s="45">
        <v>101930</v>
      </c>
      <c r="G18" s="45">
        <v>1E+30</v>
      </c>
      <c r="H18" s="45">
        <v>1E+30</v>
      </c>
    </row>
    <row r="19" spans="2:8">
      <c r="B19" s="45" t="s">
        <v>305</v>
      </c>
      <c r="C19" s="45" t="s">
        <v>306</v>
      </c>
      <c r="D19" s="45">
        <v>17.78</v>
      </c>
      <c r="E19" s="45">
        <v>0</v>
      </c>
      <c r="F19" s="45">
        <v>101930</v>
      </c>
      <c r="G19" s="45">
        <v>1E+30</v>
      </c>
      <c r="H19" s="45">
        <v>1E+30</v>
      </c>
    </row>
    <row r="20" spans="2:8">
      <c r="B20" s="45" t="s">
        <v>307</v>
      </c>
      <c r="C20" s="45" t="s">
        <v>308</v>
      </c>
      <c r="D20" s="45">
        <v>19.7</v>
      </c>
      <c r="E20" s="45">
        <v>0</v>
      </c>
      <c r="F20" s="45">
        <v>101930</v>
      </c>
      <c r="G20" s="45">
        <v>1E+30</v>
      </c>
      <c r="H20" s="45">
        <v>1E+30</v>
      </c>
    </row>
    <row r="21" spans="2:8">
      <c r="B21" s="45" t="s">
        <v>309</v>
      </c>
      <c r="C21" s="45" t="s">
        <v>285</v>
      </c>
      <c r="D21" s="45">
        <v>0</v>
      </c>
      <c r="E21" s="45">
        <v>0</v>
      </c>
      <c r="F21" s="45">
        <v>124370</v>
      </c>
      <c r="G21" s="45">
        <v>1E+30</v>
      </c>
      <c r="H21" s="45">
        <v>1E+30</v>
      </c>
    </row>
    <row r="22" spans="2:8">
      <c r="B22" s="45" t="s">
        <v>310</v>
      </c>
      <c r="C22" s="45" t="s">
        <v>288</v>
      </c>
      <c r="D22" s="45">
        <v>0</v>
      </c>
      <c r="E22" s="45">
        <v>0</v>
      </c>
      <c r="F22" s="45">
        <v>124370</v>
      </c>
      <c r="G22" s="45">
        <v>1E+30</v>
      </c>
      <c r="H22" s="45">
        <v>1E+30</v>
      </c>
    </row>
    <row r="23" spans="2:8">
      <c r="B23" s="45" t="s">
        <v>311</v>
      </c>
      <c r="C23" s="45" t="s">
        <v>290</v>
      </c>
      <c r="D23" s="45">
        <v>0</v>
      </c>
      <c r="E23" s="45">
        <v>0</v>
      </c>
      <c r="F23" s="45">
        <v>124370</v>
      </c>
      <c r="G23" s="45">
        <v>1E+30</v>
      </c>
      <c r="H23" s="45">
        <v>1E+30</v>
      </c>
    </row>
    <row r="24" spans="2:8">
      <c r="B24" s="45" t="s">
        <v>312</v>
      </c>
      <c r="C24" s="45" t="s">
        <v>292</v>
      </c>
      <c r="D24" s="45">
        <v>0.54</v>
      </c>
      <c r="E24" s="45">
        <v>0</v>
      </c>
      <c r="F24" s="45">
        <v>124370</v>
      </c>
      <c r="G24" s="45">
        <v>1E+30</v>
      </c>
      <c r="H24" s="45">
        <v>1E+30</v>
      </c>
    </row>
    <row r="25" spans="2:8">
      <c r="B25" s="45" t="s">
        <v>313</v>
      </c>
      <c r="C25" s="45" t="s">
        <v>294</v>
      </c>
      <c r="D25" s="45">
        <v>5.92</v>
      </c>
      <c r="E25" s="45">
        <v>0</v>
      </c>
      <c r="F25" s="45">
        <v>124370</v>
      </c>
      <c r="G25" s="45">
        <v>1E+30</v>
      </c>
      <c r="H25" s="45">
        <v>1E+30</v>
      </c>
    </row>
    <row r="26" spans="2:8">
      <c r="B26" s="45" t="s">
        <v>314</v>
      </c>
      <c r="C26" s="45" t="s">
        <v>296</v>
      </c>
      <c r="D26" s="45">
        <v>11.49</v>
      </c>
      <c r="E26" s="45">
        <v>0</v>
      </c>
      <c r="F26" s="45">
        <v>124370</v>
      </c>
      <c r="G26" s="45">
        <v>1E+30</v>
      </c>
      <c r="H26" s="45">
        <v>1E+30</v>
      </c>
    </row>
    <row r="27" spans="2:8">
      <c r="B27" s="45" t="s">
        <v>315</v>
      </c>
      <c r="C27" s="45" t="s">
        <v>298</v>
      </c>
      <c r="D27" s="45">
        <v>10.67</v>
      </c>
      <c r="E27" s="45">
        <v>0</v>
      </c>
      <c r="F27" s="45">
        <v>124370</v>
      </c>
      <c r="G27" s="45">
        <v>1E+30</v>
      </c>
      <c r="H27" s="45">
        <v>1E+30</v>
      </c>
    </row>
    <row r="28" spans="2:8">
      <c r="B28" s="45" t="s">
        <v>316</v>
      </c>
      <c r="C28" s="45" t="s">
        <v>300</v>
      </c>
      <c r="D28" s="45">
        <v>10.17</v>
      </c>
      <c r="E28" s="45">
        <v>0</v>
      </c>
      <c r="F28" s="45">
        <v>124370</v>
      </c>
      <c r="G28" s="45">
        <v>1E+30</v>
      </c>
      <c r="H28" s="45">
        <v>1E+30</v>
      </c>
    </row>
    <row r="29" spans="2:8">
      <c r="B29" s="45" t="s">
        <v>317</v>
      </c>
      <c r="C29" s="45" t="s">
        <v>302</v>
      </c>
      <c r="D29" s="45">
        <v>8.07</v>
      </c>
      <c r="E29" s="45">
        <v>0</v>
      </c>
      <c r="F29" s="45">
        <v>124370</v>
      </c>
      <c r="G29" s="45">
        <v>1E+30</v>
      </c>
      <c r="H29" s="45">
        <v>1E+30</v>
      </c>
    </row>
    <row r="30" spans="2:8">
      <c r="B30" s="45" t="s">
        <v>318</v>
      </c>
      <c r="C30" s="45" t="s">
        <v>304</v>
      </c>
      <c r="D30" s="45">
        <v>7.47</v>
      </c>
      <c r="E30" s="45">
        <v>0</v>
      </c>
      <c r="F30" s="45">
        <v>124370</v>
      </c>
      <c r="G30" s="45">
        <v>1E+30</v>
      </c>
      <c r="H30" s="45">
        <v>1E+30</v>
      </c>
    </row>
    <row r="31" spans="2:8">
      <c r="B31" s="45" t="s">
        <v>319</v>
      </c>
      <c r="C31" s="45" t="s">
        <v>306</v>
      </c>
      <c r="D31" s="45">
        <v>4.82</v>
      </c>
      <c r="E31" s="45">
        <v>0</v>
      </c>
      <c r="F31" s="45">
        <v>124370</v>
      </c>
      <c r="G31" s="45">
        <v>1E+30</v>
      </c>
      <c r="H31" s="45">
        <v>1E+30</v>
      </c>
    </row>
    <row r="32" spans="2:8">
      <c r="B32" s="45" t="s">
        <v>320</v>
      </c>
      <c r="C32" s="45" t="s">
        <v>308</v>
      </c>
      <c r="D32" s="45">
        <v>0.91</v>
      </c>
      <c r="E32" s="45">
        <v>0</v>
      </c>
      <c r="F32" s="45">
        <v>124370</v>
      </c>
      <c r="G32" s="45">
        <v>1E+30</v>
      </c>
      <c r="H32" s="45">
        <v>1E+30</v>
      </c>
    </row>
    <row r="33" spans="2:8">
      <c r="B33" s="45" t="s">
        <v>321</v>
      </c>
      <c r="C33" s="45" t="s">
        <v>285</v>
      </c>
      <c r="D33" s="45">
        <v>0.42</v>
      </c>
      <c r="E33" s="45">
        <v>0</v>
      </c>
      <c r="F33" s="45">
        <v>159420</v>
      </c>
      <c r="G33" s="45">
        <v>1E+30</v>
      </c>
      <c r="H33" s="45">
        <v>1E+30</v>
      </c>
    </row>
    <row r="34" spans="2:8">
      <c r="B34" s="45" t="s">
        <v>322</v>
      </c>
      <c r="C34" s="45" t="s">
        <v>288</v>
      </c>
      <c r="D34" s="45">
        <v>0.4</v>
      </c>
      <c r="E34" s="45">
        <v>0</v>
      </c>
      <c r="F34" s="45">
        <v>159420</v>
      </c>
      <c r="G34" s="45">
        <v>1E+30</v>
      </c>
      <c r="H34" s="45">
        <v>1E+30</v>
      </c>
    </row>
    <row r="35" spans="2:8">
      <c r="B35" s="45" t="s">
        <v>323</v>
      </c>
      <c r="C35" s="45" t="s">
        <v>290</v>
      </c>
      <c r="D35" s="45">
        <v>0.64</v>
      </c>
      <c r="E35" s="45">
        <v>0</v>
      </c>
      <c r="F35" s="45">
        <v>159420</v>
      </c>
      <c r="G35" s="45">
        <v>1E+30</v>
      </c>
      <c r="H35" s="45">
        <v>1E+30</v>
      </c>
    </row>
    <row r="36" spans="2:8">
      <c r="B36" s="45" t="s">
        <v>324</v>
      </c>
      <c r="C36" s="45" t="s">
        <v>292</v>
      </c>
      <c r="D36" s="45">
        <v>1.03</v>
      </c>
      <c r="E36" s="45">
        <v>0</v>
      </c>
      <c r="F36" s="45">
        <v>159420</v>
      </c>
      <c r="G36" s="45">
        <v>1E+30</v>
      </c>
      <c r="H36" s="45">
        <v>1E+30</v>
      </c>
    </row>
    <row r="37" spans="2:8">
      <c r="B37" s="45" t="s">
        <v>325</v>
      </c>
      <c r="C37" s="45" t="s">
        <v>294</v>
      </c>
      <c r="D37" s="45">
        <v>1.99</v>
      </c>
      <c r="E37" s="45">
        <v>0</v>
      </c>
      <c r="F37" s="45">
        <v>159420</v>
      </c>
      <c r="G37" s="45">
        <v>1E+30</v>
      </c>
      <c r="H37" s="45">
        <v>1E+30</v>
      </c>
    </row>
    <row r="38" spans="2:8">
      <c r="B38" s="45" t="s">
        <v>326</v>
      </c>
      <c r="C38" s="45" t="s">
        <v>296</v>
      </c>
      <c r="D38" s="45">
        <v>2.0499999999999998</v>
      </c>
      <c r="E38" s="45">
        <v>0</v>
      </c>
      <c r="F38" s="45">
        <v>159420</v>
      </c>
      <c r="G38" s="45">
        <v>1E+30</v>
      </c>
      <c r="H38" s="45">
        <v>1E+30</v>
      </c>
    </row>
    <row r="39" spans="2:8">
      <c r="B39" s="45" t="s">
        <v>327</v>
      </c>
      <c r="C39" s="45" t="s">
        <v>298</v>
      </c>
      <c r="D39" s="45">
        <v>1.93</v>
      </c>
      <c r="E39" s="45">
        <v>0</v>
      </c>
      <c r="F39" s="45">
        <v>159420</v>
      </c>
      <c r="G39" s="45">
        <v>1E+30</v>
      </c>
      <c r="H39" s="45">
        <v>1E+30</v>
      </c>
    </row>
    <row r="40" spans="2:8">
      <c r="B40" s="45" t="s">
        <v>328</v>
      </c>
      <c r="C40" s="45" t="s">
        <v>300</v>
      </c>
      <c r="D40" s="45">
        <v>1.99</v>
      </c>
      <c r="E40" s="45">
        <v>0</v>
      </c>
      <c r="F40" s="45">
        <v>159420</v>
      </c>
      <c r="G40" s="45">
        <v>1E+30</v>
      </c>
      <c r="H40" s="45">
        <v>1E+30</v>
      </c>
    </row>
    <row r="41" spans="2:8">
      <c r="B41" s="45" t="s">
        <v>329</v>
      </c>
      <c r="C41" s="45" t="s">
        <v>302</v>
      </c>
      <c r="D41" s="45">
        <v>1.41</v>
      </c>
      <c r="E41" s="45">
        <v>0</v>
      </c>
      <c r="F41" s="45">
        <v>159420</v>
      </c>
      <c r="G41" s="45">
        <v>1E+30</v>
      </c>
      <c r="H41" s="45">
        <v>1E+30</v>
      </c>
    </row>
    <row r="42" spans="2:8">
      <c r="B42" s="45" t="s">
        <v>330</v>
      </c>
      <c r="C42" s="45" t="s">
        <v>304</v>
      </c>
      <c r="D42" s="45">
        <v>0.69</v>
      </c>
      <c r="E42" s="45">
        <v>0</v>
      </c>
      <c r="F42" s="45">
        <v>159420</v>
      </c>
      <c r="G42" s="45">
        <v>1E+30</v>
      </c>
      <c r="H42" s="45">
        <v>1E+30</v>
      </c>
    </row>
    <row r="43" spans="2:8">
      <c r="B43" s="45" t="s">
        <v>331</v>
      </c>
      <c r="C43" s="45" t="s">
        <v>306</v>
      </c>
      <c r="D43" s="45">
        <v>0.67</v>
      </c>
      <c r="E43" s="45">
        <v>0</v>
      </c>
      <c r="F43" s="45">
        <v>159420</v>
      </c>
      <c r="G43" s="45">
        <v>1E+30</v>
      </c>
      <c r="H43" s="45">
        <v>1E+30</v>
      </c>
    </row>
    <row r="44" spans="2:8">
      <c r="B44" s="45" t="s">
        <v>332</v>
      </c>
      <c r="C44" s="45" t="s">
        <v>308</v>
      </c>
      <c r="D44" s="45">
        <v>0.62</v>
      </c>
      <c r="E44" s="45">
        <v>0</v>
      </c>
      <c r="F44" s="45">
        <v>159420</v>
      </c>
      <c r="G44" s="45">
        <v>1E+30</v>
      </c>
      <c r="H44" s="45">
        <v>1E+30</v>
      </c>
    </row>
    <row r="45" spans="2:8">
      <c r="B45" s="45" t="s">
        <v>333</v>
      </c>
      <c r="C45" s="45" t="s">
        <v>285</v>
      </c>
      <c r="D45" s="45">
        <v>309.11233160621759</v>
      </c>
      <c r="E45" s="45">
        <v>0</v>
      </c>
      <c r="F45" s="45">
        <v>71900</v>
      </c>
      <c r="G45" s="45">
        <v>1375599.9999999995</v>
      </c>
      <c r="H45" s="45">
        <v>1E+30</v>
      </c>
    </row>
    <row r="46" spans="2:8">
      <c r="B46" s="45" t="s">
        <v>334</v>
      </c>
      <c r="C46" s="45" t="s">
        <v>288</v>
      </c>
      <c r="D46" s="45">
        <v>275.95170984455956</v>
      </c>
      <c r="E46" s="45">
        <v>0</v>
      </c>
      <c r="F46" s="45">
        <v>70730</v>
      </c>
      <c r="G46" s="45">
        <v>1376769.9999999995</v>
      </c>
      <c r="H46" s="45">
        <v>1E+30</v>
      </c>
    </row>
    <row r="47" spans="2:8">
      <c r="B47" s="45" t="s">
        <v>335</v>
      </c>
      <c r="C47" s="45" t="s">
        <v>290</v>
      </c>
      <c r="D47" s="45">
        <v>256.75409326424875</v>
      </c>
      <c r="E47" s="45">
        <v>0</v>
      </c>
      <c r="F47" s="45">
        <v>70720</v>
      </c>
      <c r="G47" s="45">
        <v>1376780.0000000023</v>
      </c>
      <c r="H47" s="45">
        <v>1E+30</v>
      </c>
    </row>
    <row r="48" spans="2:8">
      <c r="B48" s="45" t="s">
        <v>336</v>
      </c>
      <c r="C48" s="45" t="s">
        <v>292</v>
      </c>
      <c r="D48" s="45">
        <v>199.9691191709845</v>
      </c>
      <c r="E48" s="45">
        <v>0</v>
      </c>
      <c r="F48" s="45">
        <v>70470</v>
      </c>
      <c r="G48" s="45">
        <v>1377030.000000004</v>
      </c>
      <c r="H48" s="45">
        <v>1E+30</v>
      </c>
    </row>
    <row r="49" spans="2:8">
      <c r="B49" s="45" t="s">
        <v>337</v>
      </c>
      <c r="C49" s="45" t="s">
        <v>294</v>
      </c>
      <c r="D49" s="45">
        <v>217.95689119170984</v>
      </c>
      <c r="E49" s="45">
        <v>0</v>
      </c>
      <c r="F49" s="45">
        <v>85650</v>
      </c>
      <c r="G49" s="45">
        <v>1361850.0000000023</v>
      </c>
      <c r="H49" s="45">
        <v>1E+30</v>
      </c>
    </row>
    <row r="50" spans="2:8">
      <c r="B50" s="45" t="s">
        <v>338</v>
      </c>
      <c r="C50" s="45" t="s">
        <v>296</v>
      </c>
      <c r="D50" s="45">
        <v>232.26347150259073</v>
      </c>
      <c r="E50" s="45">
        <v>0</v>
      </c>
      <c r="F50" s="45">
        <v>97070</v>
      </c>
      <c r="G50" s="45">
        <v>1350430.0000000005</v>
      </c>
      <c r="H50" s="45">
        <v>1E+30</v>
      </c>
    </row>
    <row r="51" spans="2:8">
      <c r="B51" s="45" t="s">
        <v>339</v>
      </c>
      <c r="C51" s="45" t="s">
        <v>298</v>
      </c>
      <c r="D51" s="45">
        <v>247.54124352331613</v>
      </c>
      <c r="E51" s="45">
        <v>0</v>
      </c>
      <c r="F51" s="45">
        <v>93790</v>
      </c>
      <c r="G51" s="45">
        <v>1353710.0000000005</v>
      </c>
      <c r="H51" s="45">
        <v>1E+30</v>
      </c>
    </row>
    <row r="52" spans="2:8">
      <c r="B52" s="45" t="s">
        <v>340</v>
      </c>
      <c r="C52" s="45" t="s">
        <v>300</v>
      </c>
      <c r="D52" s="45">
        <v>217.33569948186528</v>
      </c>
      <c r="E52" s="45">
        <v>0</v>
      </c>
      <c r="F52" s="45">
        <v>82330</v>
      </c>
      <c r="G52" s="45">
        <v>1365169.9999999986</v>
      </c>
      <c r="H52" s="45">
        <v>1E+30</v>
      </c>
    </row>
    <row r="53" spans="2:8">
      <c r="B53" s="45" t="s">
        <v>341</v>
      </c>
      <c r="C53" s="45" t="s">
        <v>302</v>
      </c>
      <c r="D53" s="45">
        <v>206.18673575129537</v>
      </c>
      <c r="E53" s="45">
        <v>0</v>
      </c>
      <c r="F53" s="45">
        <v>76310</v>
      </c>
      <c r="G53" s="45">
        <v>1371190.0000000005</v>
      </c>
      <c r="H53" s="45">
        <v>1E+30</v>
      </c>
    </row>
    <row r="54" spans="2:8">
      <c r="B54" s="45" t="s">
        <v>342</v>
      </c>
      <c r="C54" s="45" t="s">
        <v>304</v>
      </c>
      <c r="D54" s="45">
        <v>234.92481865284978</v>
      </c>
      <c r="E54" s="45">
        <v>0</v>
      </c>
      <c r="F54" s="45">
        <v>65670</v>
      </c>
      <c r="G54" s="45">
        <v>1381830.0000000005</v>
      </c>
      <c r="H54" s="45">
        <v>1E+30</v>
      </c>
    </row>
    <row r="55" spans="2:8">
      <c r="B55" s="45" t="s">
        <v>343</v>
      </c>
      <c r="C55" s="45" t="s">
        <v>306</v>
      </c>
      <c r="D55" s="45">
        <v>257.55901554404153</v>
      </c>
      <c r="E55" s="45">
        <v>0</v>
      </c>
      <c r="F55" s="45">
        <v>61670</v>
      </c>
      <c r="G55" s="45">
        <v>1385830.0000000005</v>
      </c>
      <c r="H55" s="45">
        <v>1E+30</v>
      </c>
    </row>
    <row r="56" spans="2:8">
      <c r="B56" s="45" t="s">
        <v>344</v>
      </c>
      <c r="C56" s="45" t="s">
        <v>308</v>
      </c>
      <c r="D56" s="45">
        <v>296.9047150259068</v>
      </c>
      <c r="E56" s="45">
        <v>0</v>
      </c>
      <c r="F56" s="45">
        <v>56630</v>
      </c>
      <c r="G56" s="45">
        <v>1390870.0000000005</v>
      </c>
      <c r="H56" s="45">
        <v>1E+30</v>
      </c>
    </row>
    <row r="57" spans="2:8">
      <c r="B57" s="45" t="s">
        <v>345</v>
      </c>
      <c r="C57" s="45" t="s">
        <v>285</v>
      </c>
      <c r="D57" s="45">
        <v>43.73152202184523</v>
      </c>
      <c r="E57" s="45">
        <v>0</v>
      </c>
      <c r="F57" s="45">
        <v>1388.890000000596</v>
      </c>
      <c r="G57" s="45">
        <v>1E+30</v>
      </c>
      <c r="H57" s="45">
        <v>1388.890000000596</v>
      </c>
    </row>
    <row r="58" spans="2:8">
      <c r="B58" s="45" t="s">
        <v>346</v>
      </c>
      <c r="C58" s="45" t="s">
        <v>288</v>
      </c>
      <c r="D58" s="45">
        <v>45.017143524919135</v>
      </c>
      <c r="E58" s="45">
        <v>0</v>
      </c>
      <c r="F58" s="45">
        <v>1388.8899999996647</v>
      </c>
      <c r="G58" s="45">
        <v>1E+30</v>
      </c>
      <c r="H58" s="45">
        <v>1388.8899999996647</v>
      </c>
    </row>
    <row r="59" spans="2:8">
      <c r="B59" s="45" t="s">
        <v>347</v>
      </c>
      <c r="C59" s="45" t="s">
        <v>290</v>
      </c>
      <c r="D59" s="45">
        <v>50.55435326597533</v>
      </c>
      <c r="E59" s="45">
        <v>0</v>
      </c>
      <c r="F59" s="45">
        <v>1388.8899999996647</v>
      </c>
      <c r="G59" s="45">
        <v>1E+30</v>
      </c>
      <c r="H59" s="45">
        <v>1388.8899999996647</v>
      </c>
    </row>
    <row r="60" spans="2:8">
      <c r="B60" s="45" t="s">
        <v>348</v>
      </c>
      <c r="C60" s="45" t="s">
        <v>292</v>
      </c>
      <c r="D60" s="45">
        <v>43.050760614089043</v>
      </c>
      <c r="E60" s="45">
        <v>0</v>
      </c>
      <c r="F60" s="45">
        <v>1388.890000000596</v>
      </c>
      <c r="G60" s="45">
        <v>1E+30</v>
      </c>
      <c r="H60" s="45">
        <v>1388.890000000596</v>
      </c>
    </row>
    <row r="61" spans="2:8">
      <c r="B61" s="45" t="s">
        <v>349</v>
      </c>
      <c r="C61" s="45" t="s">
        <v>294</v>
      </c>
      <c r="D61" s="45">
        <v>42.619605020505354</v>
      </c>
      <c r="E61" s="45">
        <v>0</v>
      </c>
      <c r="F61" s="45">
        <v>1388.8899999996647</v>
      </c>
      <c r="G61" s="45">
        <v>1E+30</v>
      </c>
      <c r="H61" s="45">
        <v>1388.8899999996647</v>
      </c>
    </row>
    <row r="62" spans="2:8">
      <c r="B62" s="45" t="s">
        <v>350</v>
      </c>
      <c r="C62" s="45" t="s">
        <v>296</v>
      </c>
      <c r="D62" s="45">
        <v>43.296487967552999</v>
      </c>
      <c r="E62" s="45">
        <v>0</v>
      </c>
      <c r="F62" s="45">
        <v>1388.8899999996647</v>
      </c>
      <c r="G62" s="45">
        <v>1E+30</v>
      </c>
      <c r="H62" s="45">
        <v>1388.8899999996647</v>
      </c>
    </row>
    <row r="63" spans="2:8">
      <c r="B63" s="45" t="s">
        <v>351</v>
      </c>
      <c r="C63" s="45" t="s">
        <v>298</v>
      </c>
      <c r="D63" s="45">
        <v>42.432940341478229</v>
      </c>
      <c r="E63" s="45">
        <v>0</v>
      </c>
      <c r="F63" s="45">
        <v>1388.890000000596</v>
      </c>
      <c r="G63" s="45">
        <v>1E+30</v>
      </c>
      <c r="H63" s="45">
        <v>1388.890000000596</v>
      </c>
    </row>
    <row r="64" spans="2:8">
      <c r="B64" s="45" t="s">
        <v>352</v>
      </c>
      <c r="C64" s="45" t="s">
        <v>300</v>
      </c>
      <c r="D64" s="45">
        <v>42.218665219869536</v>
      </c>
      <c r="E64" s="45">
        <v>0</v>
      </c>
      <c r="F64" s="45">
        <v>1388.890000000596</v>
      </c>
      <c r="G64" s="45">
        <v>1E+30</v>
      </c>
      <c r="H64" s="45">
        <v>1388.890000000596</v>
      </c>
    </row>
    <row r="65" spans="2:8">
      <c r="B65" s="45" t="s">
        <v>353</v>
      </c>
      <c r="C65" s="45" t="s">
        <v>302</v>
      </c>
      <c r="D65" s="45">
        <v>42.191476392982509</v>
      </c>
      <c r="E65" s="45">
        <v>0</v>
      </c>
      <c r="F65" s="45">
        <v>1388.8899999996647</v>
      </c>
      <c r="G65" s="45">
        <v>1E+30</v>
      </c>
      <c r="H65" s="45">
        <v>1388.8899999996647</v>
      </c>
    </row>
    <row r="66" spans="2:8">
      <c r="B66" s="45" t="s">
        <v>354</v>
      </c>
      <c r="C66" s="45" t="s">
        <v>304</v>
      </c>
      <c r="D66" s="45">
        <v>42.758040682126243</v>
      </c>
      <c r="E66" s="45">
        <v>0</v>
      </c>
      <c r="F66" s="45">
        <v>1388.8899999996647</v>
      </c>
      <c r="G66" s="45">
        <v>1E+30</v>
      </c>
      <c r="H66" s="45">
        <v>1388.8899999996647</v>
      </c>
    </row>
    <row r="67" spans="2:8">
      <c r="B67" s="45" t="s">
        <v>355</v>
      </c>
      <c r="C67" s="45" t="s">
        <v>306</v>
      </c>
      <c r="D67" s="45">
        <v>44.175761079367398</v>
      </c>
      <c r="E67" s="45">
        <v>0</v>
      </c>
      <c r="F67" s="45">
        <v>1388.8899999996647</v>
      </c>
      <c r="G67" s="45">
        <v>1E+30</v>
      </c>
      <c r="H67" s="45">
        <v>1388.8899999996647</v>
      </c>
    </row>
    <row r="68" spans="2:8">
      <c r="B68" s="45" t="s">
        <v>356</v>
      </c>
      <c r="C68" s="45" t="s">
        <v>308</v>
      </c>
      <c r="D68" s="45">
        <v>45.111472099393971</v>
      </c>
      <c r="E68" s="45">
        <v>0</v>
      </c>
      <c r="F68" s="45">
        <v>1388.8899999996647</v>
      </c>
      <c r="G68" s="45">
        <v>1E+30</v>
      </c>
      <c r="H68" s="45">
        <v>1388.8899999996647</v>
      </c>
    </row>
    <row r="69" spans="2:8">
      <c r="B69" s="45" t="s">
        <v>357</v>
      </c>
      <c r="C69" s="45" t="s">
        <v>285</v>
      </c>
      <c r="D69" s="45">
        <v>0</v>
      </c>
      <c r="E69" s="45">
        <v>1425492.2279792738</v>
      </c>
      <c r="F69" s="45">
        <v>1499999.9999999991</v>
      </c>
      <c r="G69" s="45">
        <v>1E+30</v>
      </c>
      <c r="H69" s="45">
        <v>1425492.2279792738</v>
      </c>
    </row>
    <row r="70" spans="2:8">
      <c r="B70" s="45" t="s">
        <v>358</v>
      </c>
      <c r="C70" s="45" t="s">
        <v>288</v>
      </c>
      <c r="D70" s="45">
        <v>0</v>
      </c>
      <c r="E70" s="45">
        <v>1426704.6632124344</v>
      </c>
      <c r="F70" s="45">
        <v>1499999.9999999991</v>
      </c>
      <c r="G70" s="45">
        <v>1E+30</v>
      </c>
      <c r="H70" s="45">
        <v>1426704.6632124344</v>
      </c>
    </row>
    <row r="71" spans="2:8">
      <c r="B71" s="45" t="s">
        <v>359</v>
      </c>
      <c r="C71" s="45" t="s">
        <v>290</v>
      </c>
      <c r="D71" s="45">
        <v>0</v>
      </c>
      <c r="E71" s="45">
        <v>1426715.0259067377</v>
      </c>
      <c r="F71" s="45">
        <v>1500000.0000000019</v>
      </c>
      <c r="G71" s="45">
        <v>1E+30</v>
      </c>
      <c r="H71" s="45">
        <v>1426715.0259067377</v>
      </c>
    </row>
    <row r="72" spans="2:8">
      <c r="B72" s="45" t="s">
        <v>360</v>
      </c>
      <c r="C72" s="45" t="s">
        <v>292</v>
      </c>
      <c r="D72" s="45">
        <v>0</v>
      </c>
      <c r="E72" s="45">
        <v>1426974.0932642524</v>
      </c>
      <c r="F72" s="45">
        <v>1500000.0000000037</v>
      </c>
      <c r="G72" s="45">
        <v>1E+30</v>
      </c>
      <c r="H72" s="45">
        <v>1426974.0932642524</v>
      </c>
    </row>
    <row r="73" spans="2:8">
      <c r="B73" s="45" t="s">
        <v>361</v>
      </c>
      <c r="C73" s="45" t="s">
        <v>294</v>
      </c>
      <c r="D73" s="45">
        <v>0</v>
      </c>
      <c r="E73" s="45">
        <v>1411243.5233160642</v>
      </c>
      <c r="F73" s="45">
        <v>1500000.0000000019</v>
      </c>
      <c r="G73" s="45">
        <v>1E+30</v>
      </c>
      <c r="H73" s="45">
        <v>1411243.5233160642</v>
      </c>
    </row>
    <row r="74" spans="2:8">
      <c r="B74" s="45" t="s">
        <v>362</v>
      </c>
      <c r="C74" s="45" t="s">
        <v>296</v>
      </c>
      <c r="D74" s="45">
        <v>0</v>
      </c>
      <c r="E74" s="45">
        <v>1399409.3264248704</v>
      </c>
      <c r="F74" s="45">
        <v>1500000</v>
      </c>
      <c r="G74" s="45">
        <v>1E+30</v>
      </c>
      <c r="H74" s="45">
        <v>1399409.3264248704</v>
      </c>
    </row>
    <row r="75" spans="2:8">
      <c r="B75" s="45" t="s">
        <v>363</v>
      </c>
      <c r="C75" s="45" t="s">
        <v>298</v>
      </c>
      <c r="D75" s="45">
        <v>0</v>
      </c>
      <c r="E75" s="45">
        <v>1402808.2901554406</v>
      </c>
      <c r="F75" s="45">
        <v>1500000</v>
      </c>
      <c r="G75" s="45">
        <v>1E+30</v>
      </c>
      <c r="H75" s="45">
        <v>1402808.2901554406</v>
      </c>
    </row>
    <row r="76" spans="2:8">
      <c r="B76" s="45" t="s">
        <v>364</v>
      </c>
      <c r="C76" s="45" t="s">
        <v>300</v>
      </c>
      <c r="D76" s="45">
        <v>0</v>
      </c>
      <c r="E76" s="45">
        <v>1414683.9378238323</v>
      </c>
      <c r="F76" s="45">
        <v>1499999.9999999981</v>
      </c>
      <c r="G76" s="45">
        <v>1E+30</v>
      </c>
      <c r="H76" s="45">
        <v>1414683.9378238323</v>
      </c>
    </row>
    <row r="77" spans="2:8">
      <c r="B77" s="45" t="s">
        <v>365</v>
      </c>
      <c r="C77" s="45" t="s">
        <v>302</v>
      </c>
      <c r="D77" s="45">
        <v>0</v>
      </c>
      <c r="E77" s="45">
        <v>1420922.2797927461</v>
      </c>
      <c r="F77" s="45">
        <v>1500000</v>
      </c>
      <c r="G77" s="45">
        <v>1E+30</v>
      </c>
      <c r="H77" s="45">
        <v>1420922.2797927461</v>
      </c>
    </row>
    <row r="78" spans="2:8">
      <c r="B78" s="45" t="s">
        <v>366</v>
      </c>
      <c r="C78" s="45" t="s">
        <v>304</v>
      </c>
      <c r="D78" s="45">
        <v>0</v>
      </c>
      <c r="E78" s="45">
        <v>1431948.1865284974</v>
      </c>
      <c r="F78" s="45">
        <v>1500000</v>
      </c>
      <c r="G78" s="45">
        <v>1E+30</v>
      </c>
      <c r="H78" s="45">
        <v>1431948.1865284974</v>
      </c>
    </row>
    <row r="79" spans="2:8">
      <c r="B79" s="45" t="s">
        <v>367</v>
      </c>
      <c r="C79" s="45" t="s">
        <v>306</v>
      </c>
      <c r="D79" s="45">
        <v>0</v>
      </c>
      <c r="E79" s="45">
        <v>1436093.2642487048</v>
      </c>
      <c r="F79" s="45">
        <v>1500000</v>
      </c>
      <c r="G79" s="45">
        <v>1E+30</v>
      </c>
      <c r="H79" s="45">
        <v>1436093.2642487048</v>
      </c>
    </row>
    <row r="80" spans="2:8" ht="15" thickBot="1">
      <c r="B80" s="43" t="s">
        <v>368</v>
      </c>
      <c r="C80" s="43" t="s">
        <v>308</v>
      </c>
      <c r="D80" s="43">
        <v>0</v>
      </c>
      <c r="E80" s="43">
        <v>1441316.0621761659</v>
      </c>
      <c r="F80" s="43">
        <v>1500000</v>
      </c>
      <c r="G80" s="43">
        <v>1E+30</v>
      </c>
      <c r="H80" s="43">
        <v>1441316.0621761659</v>
      </c>
    </row>
    <row r="82" spans="1:8" ht="15" thickBot="1">
      <c r="A82" t="s">
        <v>369</v>
      </c>
    </row>
    <row r="83" spans="1:8">
      <c r="B83" s="46"/>
      <c r="C83" s="46"/>
      <c r="D83" s="46" t="s">
        <v>522</v>
      </c>
      <c r="E83" s="46" t="s">
        <v>530</v>
      </c>
      <c r="F83" s="46" t="s">
        <v>531</v>
      </c>
      <c r="G83" s="46" t="s">
        <v>525</v>
      </c>
      <c r="H83" s="46" t="s">
        <v>525</v>
      </c>
    </row>
    <row r="84" spans="1:8" ht="15" thickBot="1">
      <c r="B84" s="47" t="s">
        <v>276</v>
      </c>
      <c r="C84" s="47" t="s">
        <v>277</v>
      </c>
      <c r="D84" s="47" t="s">
        <v>27</v>
      </c>
      <c r="E84" s="47" t="s">
        <v>532</v>
      </c>
      <c r="F84" s="47" t="s">
        <v>533</v>
      </c>
      <c r="G84" s="47" t="s">
        <v>528</v>
      </c>
      <c r="H84" s="47" t="s">
        <v>529</v>
      </c>
    </row>
    <row r="85" spans="1:8">
      <c r="B85" s="45" t="s">
        <v>374</v>
      </c>
      <c r="C85" s="45" t="s">
        <v>285</v>
      </c>
      <c r="D85" s="45">
        <v>313</v>
      </c>
      <c r="E85" s="45">
        <v>74507.772020725533</v>
      </c>
      <c r="F85" s="45">
        <v>313</v>
      </c>
      <c r="G85" s="45">
        <v>462.04939999999993</v>
      </c>
      <c r="H85" s="45">
        <v>298.29339999999996</v>
      </c>
    </row>
    <row r="86" spans="1:8">
      <c r="B86" s="45" t="s">
        <v>377</v>
      </c>
      <c r="C86" s="45" t="s">
        <v>288</v>
      </c>
      <c r="D86" s="45">
        <v>281</v>
      </c>
      <c r="E86" s="45">
        <v>73295.336787564913</v>
      </c>
      <c r="F86" s="45">
        <v>281</v>
      </c>
      <c r="G86" s="45">
        <v>494.04939999999993</v>
      </c>
      <c r="H86" s="45">
        <v>266.29339999999996</v>
      </c>
    </row>
    <row r="87" spans="1:8">
      <c r="B87" s="45" t="s">
        <v>379</v>
      </c>
      <c r="C87" s="45" t="s">
        <v>290</v>
      </c>
      <c r="D87" s="45">
        <v>275</v>
      </c>
      <c r="E87" s="45">
        <v>73284.974093264202</v>
      </c>
      <c r="F87" s="45">
        <v>275</v>
      </c>
      <c r="G87" s="45">
        <v>500.04939999999976</v>
      </c>
      <c r="H87" s="45">
        <v>247.76770000000002</v>
      </c>
    </row>
    <row r="88" spans="1:8">
      <c r="B88" s="45" t="s">
        <v>381</v>
      </c>
      <c r="C88" s="45" t="s">
        <v>292</v>
      </c>
      <c r="D88" s="45">
        <v>212.00000000000003</v>
      </c>
      <c r="E88" s="45">
        <v>73025.906735751545</v>
      </c>
      <c r="F88" s="45">
        <v>212</v>
      </c>
      <c r="G88" s="45">
        <v>563.04939999999988</v>
      </c>
      <c r="H88" s="45">
        <v>192.97020000000001</v>
      </c>
    </row>
    <row r="89" spans="1:8">
      <c r="B89" s="45" t="s">
        <v>383</v>
      </c>
      <c r="C89" s="45" t="s">
        <v>294</v>
      </c>
      <c r="D89" s="45">
        <v>226</v>
      </c>
      <c r="E89" s="45">
        <v>88756.476683937712</v>
      </c>
      <c r="F89" s="45">
        <v>226</v>
      </c>
      <c r="G89" s="45">
        <v>549.04939999999988</v>
      </c>
      <c r="H89" s="45">
        <v>210.32839999999996</v>
      </c>
    </row>
    <row r="90" spans="1:8">
      <c r="B90" s="45" t="s">
        <v>385</v>
      </c>
      <c r="C90" s="45" t="s">
        <v>296</v>
      </c>
      <c r="D90" s="45">
        <v>243.00000000000006</v>
      </c>
      <c r="E90" s="45">
        <v>100590.67357512959</v>
      </c>
      <c r="F90" s="45">
        <v>243</v>
      </c>
      <c r="G90" s="45">
        <v>532.04939999999988</v>
      </c>
      <c r="H90" s="45">
        <v>224.13425000000004</v>
      </c>
    </row>
    <row r="91" spans="1:8">
      <c r="B91" s="45" t="s">
        <v>387</v>
      </c>
      <c r="C91" s="45" t="s">
        <v>298</v>
      </c>
      <c r="D91" s="45">
        <v>257.00000000000006</v>
      </c>
      <c r="E91" s="45">
        <v>97191.709844559664</v>
      </c>
      <c r="F91" s="45">
        <v>257</v>
      </c>
      <c r="G91" s="45">
        <v>518.04939999999999</v>
      </c>
      <c r="H91" s="45">
        <v>238.87730000000002</v>
      </c>
    </row>
    <row r="92" spans="1:8">
      <c r="B92" s="45" t="s">
        <v>389</v>
      </c>
      <c r="C92" s="45" t="s">
        <v>300</v>
      </c>
      <c r="D92" s="45">
        <v>228.99999999999997</v>
      </c>
      <c r="E92" s="45">
        <v>85316.062176165869</v>
      </c>
      <c r="F92" s="45">
        <v>229</v>
      </c>
      <c r="G92" s="45">
        <v>546.04939999999999</v>
      </c>
      <c r="H92" s="45">
        <v>209.72894999999997</v>
      </c>
    </row>
    <row r="93" spans="1:8">
      <c r="B93" s="45" t="s">
        <v>391</v>
      </c>
      <c r="C93" s="45" t="s">
        <v>302</v>
      </c>
      <c r="D93" s="45">
        <v>218.00000000000003</v>
      </c>
      <c r="E93" s="45">
        <v>79077.720207253937</v>
      </c>
      <c r="F93" s="45">
        <v>218</v>
      </c>
      <c r="G93" s="45">
        <v>557.04939999999988</v>
      </c>
      <c r="H93" s="45">
        <v>198.97020000000001</v>
      </c>
    </row>
    <row r="94" spans="1:8">
      <c r="B94" s="45" t="s">
        <v>393</v>
      </c>
      <c r="C94" s="45" t="s">
        <v>304</v>
      </c>
      <c r="D94" s="45">
        <v>248.00000000000006</v>
      </c>
      <c r="E94" s="45">
        <v>68051.813471502624</v>
      </c>
      <c r="F94" s="45">
        <v>248</v>
      </c>
      <c r="G94" s="45">
        <v>527.04939999999976</v>
      </c>
      <c r="H94" s="45">
        <v>226.70245</v>
      </c>
    </row>
    <row r="95" spans="1:8">
      <c r="B95" s="45" t="s">
        <v>395</v>
      </c>
      <c r="C95" s="45" t="s">
        <v>306</v>
      </c>
      <c r="D95" s="45">
        <v>271.00000000000006</v>
      </c>
      <c r="E95" s="45">
        <v>63906.735751295462</v>
      </c>
      <c r="F95" s="45">
        <v>271</v>
      </c>
      <c r="G95" s="45">
        <v>504.04939999999988</v>
      </c>
      <c r="H95" s="45">
        <v>248.54445000000004</v>
      </c>
    </row>
    <row r="96" spans="1:8">
      <c r="B96" s="45" t="s">
        <v>397</v>
      </c>
      <c r="C96" s="45" t="s">
        <v>308</v>
      </c>
      <c r="D96" s="45">
        <v>307.00000000000006</v>
      </c>
      <c r="E96" s="45">
        <v>58683.937823834131</v>
      </c>
      <c r="F96" s="45">
        <v>307</v>
      </c>
      <c r="G96" s="45">
        <v>468.04939999999982</v>
      </c>
      <c r="H96" s="45">
        <v>286.51305000000002</v>
      </c>
    </row>
    <row r="97" spans="2:8">
      <c r="B97" s="45" t="s">
        <v>399</v>
      </c>
      <c r="C97" s="45" t="s">
        <v>285</v>
      </c>
      <c r="D97" s="45">
        <v>43.73152202184523</v>
      </c>
      <c r="E97" s="45">
        <v>1388.890000000596</v>
      </c>
      <c r="F97" s="45">
        <v>43.73152202184523</v>
      </c>
      <c r="G97" s="45">
        <v>1E+30</v>
      </c>
      <c r="H97" s="45">
        <v>43.73152202184523</v>
      </c>
    </row>
    <row r="98" spans="2:8">
      <c r="B98" s="45" t="s">
        <v>401</v>
      </c>
      <c r="C98" s="45" t="s">
        <v>288</v>
      </c>
      <c r="D98" s="45">
        <v>45.017143524919135</v>
      </c>
      <c r="E98" s="45">
        <v>1388.8899999996647</v>
      </c>
      <c r="F98" s="45">
        <v>45.017143524919135</v>
      </c>
      <c r="G98" s="45">
        <v>1E+30</v>
      </c>
      <c r="H98" s="45">
        <v>45.017143524919135</v>
      </c>
    </row>
    <row r="99" spans="2:8">
      <c r="B99" s="45" t="s">
        <v>403</v>
      </c>
      <c r="C99" s="45" t="s">
        <v>290</v>
      </c>
      <c r="D99" s="45">
        <v>50.55435326597533</v>
      </c>
      <c r="E99" s="45">
        <v>1388.8899999996647</v>
      </c>
      <c r="F99" s="45">
        <v>50.55435326597533</v>
      </c>
      <c r="G99" s="45">
        <v>1E+30</v>
      </c>
      <c r="H99" s="45">
        <v>50.55435326597533</v>
      </c>
    </row>
    <row r="100" spans="2:8">
      <c r="B100" s="45" t="s">
        <v>405</v>
      </c>
      <c r="C100" s="45" t="s">
        <v>292</v>
      </c>
      <c r="D100" s="45">
        <v>43.050760614089043</v>
      </c>
      <c r="E100" s="45">
        <v>1388.890000000596</v>
      </c>
      <c r="F100" s="45">
        <v>43.050760614089043</v>
      </c>
      <c r="G100" s="45">
        <v>1E+30</v>
      </c>
      <c r="H100" s="45">
        <v>43.050760614089043</v>
      </c>
    </row>
    <row r="101" spans="2:8">
      <c r="B101" s="45" t="s">
        <v>407</v>
      </c>
      <c r="C101" s="45" t="s">
        <v>294</v>
      </c>
      <c r="D101" s="45">
        <v>42.619605020505354</v>
      </c>
      <c r="E101" s="45">
        <v>1388.8899999996647</v>
      </c>
      <c r="F101" s="45">
        <v>42.619605020505354</v>
      </c>
      <c r="G101" s="45">
        <v>1E+30</v>
      </c>
      <c r="H101" s="45">
        <v>42.619605020505354</v>
      </c>
    </row>
    <row r="102" spans="2:8">
      <c r="B102" s="45" t="s">
        <v>409</v>
      </c>
      <c r="C102" s="45" t="s">
        <v>296</v>
      </c>
      <c r="D102" s="45">
        <v>43.296487967552999</v>
      </c>
      <c r="E102" s="45">
        <v>1388.8899999996647</v>
      </c>
      <c r="F102" s="45">
        <v>43.296487967552999</v>
      </c>
      <c r="G102" s="45">
        <v>1E+30</v>
      </c>
      <c r="H102" s="45">
        <v>43.296487967552999</v>
      </c>
    </row>
    <row r="103" spans="2:8">
      <c r="B103" s="45" t="s">
        <v>411</v>
      </c>
      <c r="C103" s="45" t="s">
        <v>298</v>
      </c>
      <c r="D103" s="45">
        <v>42.432940341478229</v>
      </c>
      <c r="E103" s="45">
        <v>1388.890000000596</v>
      </c>
      <c r="F103" s="45">
        <v>42.432940341478229</v>
      </c>
      <c r="G103" s="45">
        <v>1E+30</v>
      </c>
      <c r="H103" s="45">
        <v>42.432940341478229</v>
      </c>
    </row>
    <row r="104" spans="2:8">
      <c r="B104" s="45" t="s">
        <v>413</v>
      </c>
      <c r="C104" s="45" t="s">
        <v>300</v>
      </c>
      <c r="D104" s="45">
        <v>42.218665219869536</v>
      </c>
      <c r="E104" s="45">
        <v>1388.890000000596</v>
      </c>
      <c r="F104" s="45">
        <v>42.218665219869536</v>
      </c>
      <c r="G104" s="45">
        <v>1E+30</v>
      </c>
      <c r="H104" s="45">
        <v>42.218665219869536</v>
      </c>
    </row>
    <row r="105" spans="2:8">
      <c r="B105" s="45" t="s">
        <v>415</v>
      </c>
      <c r="C105" s="45" t="s">
        <v>302</v>
      </c>
      <c r="D105" s="45">
        <v>42.191476392982509</v>
      </c>
      <c r="E105" s="45">
        <v>1388.8899999996647</v>
      </c>
      <c r="F105" s="45">
        <v>42.191476392982509</v>
      </c>
      <c r="G105" s="45">
        <v>1E+30</v>
      </c>
      <c r="H105" s="45">
        <v>42.191476392982509</v>
      </c>
    </row>
    <row r="106" spans="2:8">
      <c r="B106" s="45" t="s">
        <v>417</v>
      </c>
      <c r="C106" s="45" t="s">
        <v>304</v>
      </c>
      <c r="D106" s="45">
        <v>42.758040682126243</v>
      </c>
      <c r="E106" s="45">
        <v>1388.8899999996647</v>
      </c>
      <c r="F106" s="45">
        <v>42.758040682126243</v>
      </c>
      <c r="G106" s="45">
        <v>1E+30</v>
      </c>
      <c r="H106" s="45">
        <v>42.758040682126243</v>
      </c>
    </row>
    <row r="107" spans="2:8">
      <c r="B107" s="45" t="s">
        <v>419</v>
      </c>
      <c r="C107" s="45" t="s">
        <v>306</v>
      </c>
      <c r="D107" s="45">
        <v>44.175761079367398</v>
      </c>
      <c r="E107" s="45">
        <v>1388.8899999996647</v>
      </c>
      <c r="F107" s="45">
        <v>44.175761079367398</v>
      </c>
      <c r="G107" s="45">
        <v>1E+30</v>
      </c>
      <c r="H107" s="45">
        <v>44.175761079367398</v>
      </c>
    </row>
    <row r="108" spans="2:8">
      <c r="B108" s="45" t="s">
        <v>421</v>
      </c>
      <c r="C108" s="45" t="s">
        <v>308</v>
      </c>
      <c r="D108" s="45">
        <v>45.111472099393971</v>
      </c>
      <c r="E108" s="45">
        <v>1388.8899999996647</v>
      </c>
      <c r="F108" s="45">
        <v>45.111472099393971</v>
      </c>
      <c r="G108" s="45">
        <v>1E+30</v>
      </c>
      <c r="H108" s="45">
        <v>45.111472099393971</v>
      </c>
    </row>
    <row r="109" spans="2:8">
      <c r="B109" s="45" t="s">
        <v>423</v>
      </c>
      <c r="C109" s="45" t="s">
        <v>285</v>
      </c>
      <c r="D109" s="45">
        <v>14.82</v>
      </c>
      <c r="E109" s="45">
        <v>30030</v>
      </c>
      <c r="F109" s="45">
        <v>14.82</v>
      </c>
      <c r="G109" s="45">
        <v>309.11233160621754</v>
      </c>
      <c r="H109" s="45">
        <v>14.82</v>
      </c>
    </row>
    <row r="110" spans="2:8">
      <c r="B110" s="45" t="s">
        <v>425</v>
      </c>
      <c r="C110" s="45" t="s">
        <v>288</v>
      </c>
      <c r="D110" s="45">
        <v>14.84</v>
      </c>
      <c r="E110" s="45">
        <v>31200</v>
      </c>
      <c r="F110" s="45">
        <v>14.84</v>
      </c>
      <c r="G110" s="45">
        <v>275.9517098445595</v>
      </c>
      <c r="H110" s="45">
        <v>14.84</v>
      </c>
    </row>
    <row r="111" spans="2:8">
      <c r="B111" s="45" t="s">
        <v>427</v>
      </c>
      <c r="C111" s="45" t="s">
        <v>290</v>
      </c>
      <c r="D111" s="45">
        <v>27.58</v>
      </c>
      <c r="E111" s="45">
        <v>31210.000000000233</v>
      </c>
      <c r="F111" s="45">
        <v>27.58</v>
      </c>
      <c r="G111" s="45">
        <v>256.7540932642487</v>
      </c>
      <c r="H111" s="45">
        <v>27.58</v>
      </c>
    </row>
    <row r="112" spans="2:8">
      <c r="B112" s="45" t="s">
        <v>429</v>
      </c>
      <c r="C112" s="45" t="s">
        <v>292</v>
      </c>
      <c r="D112" s="45">
        <v>18.149999999999999</v>
      </c>
      <c r="E112" s="45">
        <v>31460</v>
      </c>
      <c r="F112" s="45">
        <v>18.149999999999999</v>
      </c>
      <c r="G112" s="45">
        <v>199.96911917098444</v>
      </c>
      <c r="H112" s="45">
        <v>18.149999999999999</v>
      </c>
    </row>
    <row r="113" spans="2:8">
      <c r="B113" s="45" t="s">
        <v>431</v>
      </c>
      <c r="C113" s="45" t="s">
        <v>294</v>
      </c>
      <c r="D113" s="45">
        <v>8.33</v>
      </c>
      <c r="E113" s="45">
        <v>16280.000000000233</v>
      </c>
      <c r="F113" s="45">
        <v>8.33</v>
      </c>
      <c r="G113" s="45">
        <v>217.95689119170979</v>
      </c>
      <c r="H113" s="45">
        <v>8.33</v>
      </c>
    </row>
    <row r="114" spans="2:8">
      <c r="B114" s="45" t="s">
        <v>433</v>
      </c>
      <c r="C114" s="45" t="s">
        <v>296</v>
      </c>
      <c r="D114" s="45">
        <v>6.01</v>
      </c>
      <c r="E114" s="45">
        <v>4860</v>
      </c>
      <c r="F114" s="45">
        <v>6.01</v>
      </c>
      <c r="G114" s="45">
        <v>232.26347150259068</v>
      </c>
      <c r="H114" s="45">
        <v>6.01</v>
      </c>
    </row>
    <row r="115" spans="2:8">
      <c r="B115" s="45" t="s">
        <v>435</v>
      </c>
      <c r="C115" s="45" t="s">
        <v>298</v>
      </c>
      <c r="D115" s="45">
        <v>6.18</v>
      </c>
      <c r="E115" s="45">
        <v>8140</v>
      </c>
      <c r="F115" s="45">
        <v>6.18</v>
      </c>
      <c r="G115" s="45">
        <v>247.54124352331607</v>
      </c>
      <c r="H115" s="45">
        <v>6.18</v>
      </c>
    </row>
    <row r="116" spans="2:8">
      <c r="B116" s="45" t="s">
        <v>437</v>
      </c>
      <c r="C116" s="45" t="s">
        <v>300</v>
      </c>
      <c r="D116" s="45">
        <v>7.81</v>
      </c>
      <c r="E116" s="45">
        <v>19600</v>
      </c>
      <c r="F116" s="45">
        <v>7.81</v>
      </c>
      <c r="G116" s="45">
        <v>217.33569948186522</v>
      </c>
      <c r="H116" s="45">
        <v>7.81</v>
      </c>
    </row>
    <row r="117" spans="2:8">
      <c r="B117" s="45" t="s">
        <v>439</v>
      </c>
      <c r="C117" s="45" t="s">
        <v>302</v>
      </c>
      <c r="D117" s="45">
        <v>10.24</v>
      </c>
      <c r="E117" s="45">
        <v>25620</v>
      </c>
      <c r="F117" s="45">
        <v>10.24</v>
      </c>
      <c r="G117" s="45">
        <v>206.18673575129532</v>
      </c>
      <c r="H117" s="45">
        <v>10.24</v>
      </c>
    </row>
    <row r="118" spans="2:8">
      <c r="B118" s="45" t="s">
        <v>441</v>
      </c>
      <c r="C118" s="45" t="s">
        <v>304</v>
      </c>
      <c r="D118" s="45">
        <v>13.91</v>
      </c>
      <c r="E118" s="45">
        <v>36260</v>
      </c>
      <c r="F118" s="45">
        <v>13.91</v>
      </c>
      <c r="G118" s="45">
        <v>234.92481865284972</v>
      </c>
      <c r="H118" s="45">
        <v>13.91</v>
      </c>
    </row>
    <row r="119" spans="2:8">
      <c r="B119" s="45" t="s">
        <v>443</v>
      </c>
      <c r="C119" s="45" t="s">
        <v>306</v>
      </c>
      <c r="D119" s="45">
        <v>17.78</v>
      </c>
      <c r="E119" s="45">
        <v>40260</v>
      </c>
      <c r="F119" s="45">
        <v>17.78</v>
      </c>
      <c r="G119" s="45">
        <v>257.55901554404147</v>
      </c>
      <c r="H119" s="45">
        <v>17.78</v>
      </c>
    </row>
    <row r="120" spans="2:8">
      <c r="B120" s="45" t="s">
        <v>445</v>
      </c>
      <c r="C120" s="45" t="s">
        <v>308</v>
      </c>
      <c r="D120" s="45">
        <v>19.7</v>
      </c>
      <c r="E120" s="45">
        <v>45300</v>
      </c>
      <c r="F120" s="45">
        <v>19.7</v>
      </c>
      <c r="G120" s="45">
        <v>296.90471502590674</v>
      </c>
      <c r="H120" s="45">
        <v>19.7</v>
      </c>
    </row>
    <row r="121" spans="2:8">
      <c r="B121" s="45" t="s">
        <v>447</v>
      </c>
      <c r="C121" s="45" t="s">
        <v>285</v>
      </c>
      <c r="D121" s="45">
        <v>0</v>
      </c>
      <c r="E121" s="45">
        <v>52470</v>
      </c>
      <c r="F121" s="45">
        <v>0</v>
      </c>
      <c r="G121" s="45">
        <v>309.11233160621754</v>
      </c>
      <c r="H121" s="45">
        <v>0</v>
      </c>
    </row>
    <row r="122" spans="2:8">
      <c r="B122" s="45" t="s">
        <v>449</v>
      </c>
      <c r="C122" s="45" t="s">
        <v>288</v>
      </c>
      <c r="D122" s="45">
        <v>0</v>
      </c>
      <c r="E122" s="45">
        <v>53640</v>
      </c>
      <c r="F122" s="45">
        <v>0</v>
      </c>
      <c r="G122" s="45">
        <v>275.9517098445595</v>
      </c>
      <c r="H122" s="45">
        <v>0</v>
      </c>
    </row>
    <row r="123" spans="2:8">
      <c r="B123" s="45" t="s">
        <v>451</v>
      </c>
      <c r="C123" s="45" t="s">
        <v>290</v>
      </c>
      <c r="D123" s="45">
        <v>0</v>
      </c>
      <c r="E123" s="45">
        <v>53650.000000000233</v>
      </c>
      <c r="F123" s="45">
        <v>0</v>
      </c>
      <c r="G123" s="45">
        <v>256.7540932642487</v>
      </c>
      <c r="H123" s="45">
        <v>0</v>
      </c>
    </row>
    <row r="124" spans="2:8">
      <c r="B124" s="45" t="s">
        <v>453</v>
      </c>
      <c r="C124" s="45" t="s">
        <v>292</v>
      </c>
      <c r="D124" s="45">
        <v>0.54</v>
      </c>
      <c r="E124" s="45">
        <v>53900</v>
      </c>
      <c r="F124" s="45">
        <v>0.54</v>
      </c>
      <c r="G124" s="45">
        <v>199.96911917098444</v>
      </c>
      <c r="H124" s="45">
        <v>0.54</v>
      </c>
    </row>
    <row r="125" spans="2:8">
      <c r="B125" s="45" t="s">
        <v>455</v>
      </c>
      <c r="C125" s="45" t="s">
        <v>294</v>
      </c>
      <c r="D125" s="45">
        <v>5.92</v>
      </c>
      <c r="E125" s="45">
        <v>38720.000000000233</v>
      </c>
      <c r="F125" s="45">
        <v>5.92</v>
      </c>
      <c r="G125" s="45">
        <v>217.95689119170979</v>
      </c>
      <c r="H125" s="45">
        <v>5.92</v>
      </c>
    </row>
    <row r="126" spans="2:8">
      <c r="B126" s="45" t="s">
        <v>457</v>
      </c>
      <c r="C126" s="45" t="s">
        <v>296</v>
      </c>
      <c r="D126" s="45">
        <v>11.49</v>
      </c>
      <c r="E126" s="45">
        <v>27300</v>
      </c>
      <c r="F126" s="45">
        <v>11.49</v>
      </c>
      <c r="G126" s="45">
        <v>232.26347150259068</v>
      </c>
      <c r="H126" s="45">
        <v>11.49</v>
      </c>
    </row>
    <row r="127" spans="2:8">
      <c r="B127" s="45" t="s">
        <v>459</v>
      </c>
      <c r="C127" s="45" t="s">
        <v>298</v>
      </c>
      <c r="D127" s="45">
        <v>10.67</v>
      </c>
      <c r="E127" s="45">
        <v>30580</v>
      </c>
      <c r="F127" s="45">
        <v>10.67</v>
      </c>
      <c r="G127" s="45">
        <v>247.54124352331607</v>
      </c>
      <c r="H127" s="45">
        <v>10.67</v>
      </c>
    </row>
    <row r="128" spans="2:8">
      <c r="B128" s="45" t="s">
        <v>461</v>
      </c>
      <c r="C128" s="45" t="s">
        <v>300</v>
      </c>
      <c r="D128" s="45">
        <v>10.17</v>
      </c>
      <c r="E128" s="45">
        <v>42040</v>
      </c>
      <c r="F128" s="45">
        <v>10.17</v>
      </c>
      <c r="G128" s="45">
        <v>217.33569948186522</v>
      </c>
      <c r="H128" s="45">
        <v>10.17</v>
      </c>
    </row>
    <row r="129" spans="2:8">
      <c r="B129" s="45" t="s">
        <v>463</v>
      </c>
      <c r="C129" s="45" t="s">
        <v>302</v>
      </c>
      <c r="D129" s="45">
        <v>8.07</v>
      </c>
      <c r="E129" s="45">
        <v>48060</v>
      </c>
      <c r="F129" s="45">
        <v>8.07</v>
      </c>
      <c r="G129" s="45">
        <v>206.18673575129532</v>
      </c>
      <c r="H129" s="45">
        <v>8.07</v>
      </c>
    </row>
    <row r="130" spans="2:8">
      <c r="B130" s="45" t="s">
        <v>465</v>
      </c>
      <c r="C130" s="45" t="s">
        <v>304</v>
      </c>
      <c r="D130" s="45">
        <v>7.47</v>
      </c>
      <c r="E130" s="45">
        <v>58700</v>
      </c>
      <c r="F130" s="45">
        <v>7.47</v>
      </c>
      <c r="G130" s="45">
        <v>234.92481865284972</v>
      </c>
      <c r="H130" s="45">
        <v>7.47</v>
      </c>
    </row>
    <row r="131" spans="2:8">
      <c r="B131" s="45" t="s">
        <v>467</v>
      </c>
      <c r="C131" s="45" t="s">
        <v>306</v>
      </c>
      <c r="D131" s="45">
        <v>4.82</v>
      </c>
      <c r="E131" s="45">
        <v>62700</v>
      </c>
      <c r="F131" s="45">
        <v>4.82</v>
      </c>
      <c r="G131" s="45">
        <v>257.55901554404147</v>
      </c>
      <c r="H131" s="45">
        <v>4.82</v>
      </c>
    </row>
    <row r="132" spans="2:8">
      <c r="B132" s="45" t="s">
        <v>469</v>
      </c>
      <c r="C132" s="45" t="s">
        <v>308</v>
      </c>
      <c r="D132" s="45">
        <v>0.91</v>
      </c>
      <c r="E132" s="45">
        <v>67740</v>
      </c>
      <c r="F132" s="45">
        <v>0.91</v>
      </c>
      <c r="G132" s="45">
        <v>296.90471502590674</v>
      </c>
      <c r="H132" s="45">
        <v>0.91</v>
      </c>
    </row>
    <row r="133" spans="2:8">
      <c r="B133" s="45" t="s">
        <v>471</v>
      </c>
      <c r="C133" s="45" t="s">
        <v>285</v>
      </c>
      <c r="D133" s="45">
        <v>0.42</v>
      </c>
      <c r="E133" s="45">
        <v>87519.999999999767</v>
      </c>
      <c r="F133" s="45">
        <v>0.42</v>
      </c>
      <c r="G133" s="45">
        <v>309.11233160621754</v>
      </c>
      <c r="H133" s="45">
        <v>0.42</v>
      </c>
    </row>
    <row r="134" spans="2:8">
      <c r="B134" s="45" t="s">
        <v>473</v>
      </c>
      <c r="C134" s="45" t="s">
        <v>288</v>
      </c>
      <c r="D134" s="45">
        <v>0.4</v>
      </c>
      <c r="E134" s="45">
        <v>88689.999999999767</v>
      </c>
      <c r="F134" s="45">
        <v>0.4</v>
      </c>
      <c r="G134" s="45">
        <v>275.9517098445595</v>
      </c>
      <c r="H134" s="45">
        <v>0.4</v>
      </c>
    </row>
    <row r="135" spans="2:8">
      <c r="B135" s="45" t="s">
        <v>475</v>
      </c>
      <c r="C135" s="45" t="s">
        <v>290</v>
      </c>
      <c r="D135" s="45">
        <v>0.64</v>
      </c>
      <c r="E135" s="45">
        <v>88700</v>
      </c>
      <c r="F135" s="45">
        <v>0.64</v>
      </c>
      <c r="G135" s="45">
        <v>256.7540932642487</v>
      </c>
      <c r="H135" s="45">
        <v>0.64</v>
      </c>
    </row>
    <row r="136" spans="2:8">
      <c r="B136" s="45" t="s">
        <v>477</v>
      </c>
      <c r="C136" s="45" t="s">
        <v>292</v>
      </c>
      <c r="D136" s="45">
        <v>1.03</v>
      </c>
      <c r="E136" s="45">
        <v>88949.999999999767</v>
      </c>
      <c r="F136" s="45">
        <v>1.03</v>
      </c>
      <c r="G136" s="45">
        <v>199.96911917098444</v>
      </c>
      <c r="H136" s="45">
        <v>1.03</v>
      </c>
    </row>
    <row r="137" spans="2:8">
      <c r="B137" s="45" t="s">
        <v>479</v>
      </c>
      <c r="C137" s="45" t="s">
        <v>294</v>
      </c>
      <c r="D137" s="45">
        <v>1.99</v>
      </c>
      <c r="E137" s="45">
        <v>73770</v>
      </c>
      <c r="F137" s="45">
        <v>1.99</v>
      </c>
      <c r="G137" s="45">
        <v>217.95689119170979</v>
      </c>
      <c r="H137" s="45">
        <v>1.99</v>
      </c>
    </row>
    <row r="138" spans="2:8">
      <c r="B138" s="45" t="s">
        <v>481</v>
      </c>
      <c r="C138" s="45" t="s">
        <v>296</v>
      </c>
      <c r="D138" s="45">
        <v>2.0499999999999998</v>
      </c>
      <c r="E138" s="45">
        <v>62350</v>
      </c>
      <c r="F138" s="45">
        <v>2.0499999999999998</v>
      </c>
      <c r="G138" s="45">
        <v>232.26347150259068</v>
      </c>
      <c r="H138" s="45">
        <v>2.0499999999999998</v>
      </c>
    </row>
    <row r="139" spans="2:8">
      <c r="B139" s="45" t="s">
        <v>483</v>
      </c>
      <c r="C139" s="45" t="s">
        <v>298</v>
      </c>
      <c r="D139" s="45">
        <v>1.93</v>
      </c>
      <c r="E139" s="45">
        <v>65630</v>
      </c>
      <c r="F139" s="45">
        <v>1.93</v>
      </c>
      <c r="G139" s="45">
        <v>247.54124352331607</v>
      </c>
      <c r="H139" s="45">
        <v>1.93</v>
      </c>
    </row>
    <row r="140" spans="2:8">
      <c r="B140" s="45" t="s">
        <v>485</v>
      </c>
      <c r="C140" s="45" t="s">
        <v>300</v>
      </c>
      <c r="D140" s="45">
        <v>1.99</v>
      </c>
      <c r="E140" s="45">
        <v>77089.999999999767</v>
      </c>
      <c r="F140" s="45">
        <v>1.99</v>
      </c>
      <c r="G140" s="45">
        <v>217.33569948186522</v>
      </c>
      <c r="H140" s="45">
        <v>1.99</v>
      </c>
    </row>
    <row r="141" spans="2:8">
      <c r="B141" s="45" t="s">
        <v>487</v>
      </c>
      <c r="C141" s="45" t="s">
        <v>302</v>
      </c>
      <c r="D141" s="45">
        <v>1.41</v>
      </c>
      <c r="E141" s="45">
        <v>83110</v>
      </c>
      <c r="F141" s="45">
        <v>1.41</v>
      </c>
      <c r="G141" s="45">
        <v>206.18673575129532</v>
      </c>
      <c r="H141" s="45">
        <v>1.41</v>
      </c>
    </row>
    <row r="142" spans="2:8">
      <c r="B142" s="45" t="s">
        <v>489</v>
      </c>
      <c r="C142" s="45" t="s">
        <v>304</v>
      </c>
      <c r="D142" s="45">
        <v>0.69</v>
      </c>
      <c r="E142" s="45">
        <v>93750</v>
      </c>
      <c r="F142" s="45">
        <v>0.69</v>
      </c>
      <c r="G142" s="45">
        <v>234.92481865284972</v>
      </c>
      <c r="H142" s="45">
        <v>0.69</v>
      </c>
    </row>
    <row r="143" spans="2:8">
      <c r="B143" s="45" t="s">
        <v>491</v>
      </c>
      <c r="C143" s="45" t="s">
        <v>306</v>
      </c>
      <c r="D143" s="45">
        <v>0.67</v>
      </c>
      <c r="E143" s="45">
        <v>97750</v>
      </c>
      <c r="F143" s="45">
        <v>0.67</v>
      </c>
      <c r="G143" s="45">
        <v>257.55901554404147</v>
      </c>
      <c r="H143" s="45">
        <v>0.67</v>
      </c>
    </row>
    <row r="144" spans="2:8">
      <c r="B144" s="45" t="s">
        <v>493</v>
      </c>
      <c r="C144" s="45" t="s">
        <v>308</v>
      </c>
      <c r="D144" s="45">
        <v>0.62</v>
      </c>
      <c r="E144" s="45">
        <v>102790</v>
      </c>
      <c r="F144" s="45">
        <v>0.62</v>
      </c>
      <c r="G144" s="45">
        <v>296.90471502590674</v>
      </c>
      <c r="H144" s="45">
        <v>0.62</v>
      </c>
    </row>
    <row r="145" spans="2:8">
      <c r="B145" s="45" t="s">
        <v>495</v>
      </c>
      <c r="C145" s="45" t="s">
        <v>285</v>
      </c>
      <c r="D145" s="45">
        <v>324.3523316062176</v>
      </c>
      <c r="E145" s="45">
        <v>0</v>
      </c>
      <c r="F145" s="45">
        <v>803.16</v>
      </c>
      <c r="G145" s="45">
        <v>1E+30</v>
      </c>
      <c r="H145" s="45">
        <v>478.80766839378236</v>
      </c>
    </row>
    <row r="146" spans="2:8">
      <c r="B146" s="45" t="s">
        <v>498</v>
      </c>
      <c r="C146" s="45" t="s">
        <v>288</v>
      </c>
      <c r="D146" s="45">
        <v>291.19170984455957</v>
      </c>
      <c r="E146" s="45">
        <v>0</v>
      </c>
      <c r="F146" s="45">
        <v>803.16</v>
      </c>
      <c r="G146" s="45">
        <v>1E+30</v>
      </c>
      <c r="H146" s="45">
        <v>511.9682901554404</v>
      </c>
    </row>
    <row r="147" spans="2:8">
      <c r="B147" s="45" t="s">
        <v>500</v>
      </c>
      <c r="C147" s="45" t="s">
        <v>290</v>
      </c>
      <c r="D147" s="45">
        <v>284.97409326424872</v>
      </c>
      <c r="E147" s="45">
        <v>0</v>
      </c>
      <c r="F147" s="45">
        <v>803.16</v>
      </c>
      <c r="G147" s="45">
        <v>1E+30</v>
      </c>
      <c r="H147" s="45">
        <v>518.18590673575113</v>
      </c>
    </row>
    <row r="148" spans="2:8">
      <c r="B148" s="45" t="s">
        <v>502</v>
      </c>
      <c r="C148" s="45" t="s">
        <v>292</v>
      </c>
      <c r="D148" s="45">
        <v>219.6891191709845</v>
      </c>
      <c r="E148" s="45">
        <v>0</v>
      </c>
      <c r="F148" s="45">
        <v>803.16</v>
      </c>
      <c r="G148" s="45">
        <v>1E+30</v>
      </c>
      <c r="H148" s="45">
        <v>583.47088082901553</v>
      </c>
    </row>
    <row r="149" spans="2:8">
      <c r="B149" s="45" t="s">
        <v>504</v>
      </c>
      <c r="C149" s="45" t="s">
        <v>294</v>
      </c>
      <c r="D149" s="45">
        <v>234.19689119170985</v>
      </c>
      <c r="E149" s="45">
        <v>0</v>
      </c>
      <c r="F149" s="45">
        <v>803.16</v>
      </c>
      <c r="G149" s="45">
        <v>1E+30</v>
      </c>
      <c r="H149" s="45">
        <v>568.96310880829014</v>
      </c>
    </row>
    <row r="150" spans="2:8">
      <c r="B150" s="45" t="s">
        <v>506</v>
      </c>
      <c r="C150" s="45" t="s">
        <v>296</v>
      </c>
      <c r="D150" s="45">
        <v>251.81347150259074</v>
      </c>
      <c r="E150" s="45">
        <v>0</v>
      </c>
      <c r="F150" s="45">
        <v>803.16</v>
      </c>
      <c r="G150" s="45">
        <v>1E+30</v>
      </c>
      <c r="H150" s="45">
        <v>551.34652849740928</v>
      </c>
    </row>
    <row r="151" spans="2:8">
      <c r="B151" s="45" t="s">
        <v>508</v>
      </c>
      <c r="C151" s="45" t="s">
        <v>298</v>
      </c>
      <c r="D151" s="45">
        <v>266.32124352331613</v>
      </c>
      <c r="E151" s="45">
        <v>0</v>
      </c>
      <c r="F151" s="45">
        <v>803.16</v>
      </c>
      <c r="G151" s="45">
        <v>1E+30</v>
      </c>
      <c r="H151" s="45">
        <v>536.83875647668401</v>
      </c>
    </row>
    <row r="152" spans="2:8">
      <c r="B152" s="45" t="s">
        <v>510</v>
      </c>
      <c r="C152" s="45" t="s">
        <v>300</v>
      </c>
      <c r="D152" s="45">
        <v>237.30569948186528</v>
      </c>
      <c r="E152" s="45">
        <v>0</v>
      </c>
      <c r="F152" s="45">
        <v>803.16</v>
      </c>
      <c r="G152" s="45">
        <v>1E+30</v>
      </c>
      <c r="H152" s="45">
        <v>565.85430051813478</v>
      </c>
    </row>
    <row r="153" spans="2:8">
      <c r="B153" s="45" t="s">
        <v>512</v>
      </c>
      <c r="C153" s="45" t="s">
        <v>302</v>
      </c>
      <c r="D153" s="45">
        <v>225.90673575129537</v>
      </c>
      <c r="E153" s="45">
        <v>0</v>
      </c>
      <c r="F153" s="45">
        <v>803.16</v>
      </c>
      <c r="G153" s="45">
        <v>1E+30</v>
      </c>
      <c r="H153" s="45">
        <v>577.25326424870457</v>
      </c>
    </row>
    <row r="154" spans="2:8">
      <c r="B154" s="45" t="s">
        <v>514</v>
      </c>
      <c r="C154" s="45" t="s">
        <v>304</v>
      </c>
      <c r="D154" s="45">
        <v>256.9948186528498</v>
      </c>
      <c r="E154" s="45">
        <v>0</v>
      </c>
      <c r="F154" s="45">
        <v>803.16</v>
      </c>
      <c r="G154" s="45">
        <v>1E+30</v>
      </c>
      <c r="H154" s="45">
        <v>546.16518134715011</v>
      </c>
    </row>
    <row r="155" spans="2:8">
      <c r="B155" s="45" t="s">
        <v>516</v>
      </c>
      <c r="C155" s="45" t="s">
        <v>306</v>
      </c>
      <c r="D155" s="45">
        <v>280.82901554404151</v>
      </c>
      <c r="E155" s="45">
        <v>0</v>
      </c>
      <c r="F155" s="45">
        <v>803.16</v>
      </c>
      <c r="G155" s="45">
        <v>1E+30</v>
      </c>
      <c r="H155" s="45">
        <v>522.33098445595851</v>
      </c>
    </row>
    <row r="156" spans="2:8" ht="15" thickBot="1">
      <c r="B156" s="43" t="s">
        <v>518</v>
      </c>
      <c r="C156" s="43" t="s">
        <v>308</v>
      </c>
      <c r="D156" s="43">
        <v>318.13471502590681</v>
      </c>
      <c r="E156" s="43">
        <v>0</v>
      </c>
      <c r="F156" s="43">
        <v>803.16</v>
      </c>
      <c r="G156" s="43">
        <v>1E+30</v>
      </c>
      <c r="H156" s="43">
        <v>485.02528497409315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E8161-6E72-49A5-B5A0-EFA55C75E641}">
  <sheetPr>
    <tabColor theme="9" tint="-0.249977111117893"/>
  </sheetPr>
  <dimension ref="A2:N83"/>
  <sheetViews>
    <sheetView topLeftCell="A22" zoomScale="68" workbookViewId="0">
      <selection activeCell="C78" sqref="C78"/>
    </sheetView>
  </sheetViews>
  <sheetFormatPr defaultColWidth="11.42578125" defaultRowHeight="14.45"/>
  <cols>
    <col min="1" max="1" width="23.7109375" customWidth="1"/>
    <col min="2" max="2" width="9.140625" bestFit="1" customWidth="1"/>
    <col min="3" max="3" width="43.42578125" bestFit="1" customWidth="1"/>
    <col min="4" max="4" width="12" bestFit="1" customWidth="1"/>
    <col min="6" max="7" width="12" bestFit="1" customWidth="1"/>
    <col min="9" max="10" width="12" bestFit="1" customWidth="1"/>
  </cols>
  <sheetData>
    <row r="2" spans="1:14">
      <c r="A2" s="99" t="s">
        <v>534</v>
      </c>
      <c r="B2" s="99"/>
      <c r="C2" s="99"/>
      <c r="D2" s="99"/>
      <c r="E2" s="99"/>
      <c r="F2" s="99"/>
      <c r="G2" s="99"/>
    </row>
    <row r="3" spans="1:14">
      <c r="A3" s="99"/>
      <c r="B3" s="99"/>
      <c r="C3" s="99"/>
      <c r="D3" s="99"/>
      <c r="E3" s="99"/>
      <c r="F3" s="99"/>
      <c r="G3" s="99"/>
    </row>
    <row r="5" spans="1:14">
      <c r="A5" s="100" t="s">
        <v>535</v>
      </c>
      <c r="B5" s="101"/>
    </row>
    <row r="6" spans="1:14">
      <c r="A6" s="26" t="s">
        <v>536</v>
      </c>
      <c r="B6" s="28" t="s">
        <v>205</v>
      </c>
      <c r="C6" s="28" t="s">
        <v>537</v>
      </c>
      <c r="D6" s="28" t="s">
        <v>538</v>
      </c>
      <c r="E6" s="28" t="s">
        <v>539</v>
      </c>
      <c r="F6" s="28" t="s">
        <v>540</v>
      </c>
      <c r="G6" s="28" t="s">
        <v>541</v>
      </c>
      <c r="H6" s="28" t="s">
        <v>542</v>
      </c>
      <c r="I6" s="28" t="s">
        <v>543</v>
      </c>
      <c r="J6" s="28" t="s">
        <v>544</v>
      </c>
      <c r="K6" s="28" t="s">
        <v>545</v>
      </c>
      <c r="L6" s="28" t="s">
        <v>546</v>
      </c>
      <c r="M6" s="28" t="s">
        <v>547</v>
      </c>
      <c r="N6" s="28" t="s">
        <v>548</v>
      </c>
    </row>
    <row r="7" spans="1:14">
      <c r="A7" s="26" t="s">
        <v>549</v>
      </c>
      <c r="B7" s="27" t="s">
        <v>235</v>
      </c>
      <c r="C7" s="42">
        <v>14.82</v>
      </c>
      <c r="D7" s="42">
        <v>14.84</v>
      </c>
      <c r="E7" s="42">
        <v>27.58</v>
      </c>
      <c r="F7" s="42">
        <v>18.149999999999999</v>
      </c>
      <c r="G7" s="42">
        <v>8.33</v>
      </c>
      <c r="H7" s="42">
        <v>6.01</v>
      </c>
      <c r="I7" s="42">
        <v>6.18</v>
      </c>
      <c r="J7" s="42">
        <v>7.81</v>
      </c>
      <c r="K7" s="42">
        <v>10.24</v>
      </c>
      <c r="L7" s="42">
        <v>13.91</v>
      </c>
      <c r="M7" s="42">
        <v>17.78</v>
      </c>
      <c r="N7" s="42">
        <v>19.7</v>
      </c>
    </row>
    <row r="8" spans="1:14">
      <c r="A8" s="26" t="s">
        <v>550</v>
      </c>
      <c r="B8" s="27" t="s">
        <v>235</v>
      </c>
      <c r="C8" s="42">
        <v>0</v>
      </c>
      <c r="D8" s="42">
        <v>0</v>
      </c>
      <c r="E8" s="42">
        <v>0</v>
      </c>
      <c r="F8" s="42">
        <v>0.54</v>
      </c>
      <c r="G8" s="42">
        <v>5.92</v>
      </c>
      <c r="H8" s="42">
        <v>11.49</v>
      </c>
      <c r="I8" s="42">
        <v>10.67</v>
      </c>
      <c r="J8" s="42">
        <v>10.17</v>
      </c>
      <c r="K8" s="42">
        <v>8.07</v>
      </c>
      <c r="L8" s="42">
        <v>7.47</v>
      </c>
      <c r="M8" s="42">
        <v>4.82</v>
      </c>
      <c r="N8" s="42">
        <v>0.91</v>
      </c>
    </row>
    <row r="9" spans="1:14">
      <c r="A9" s="26" t="s">
        <v>551</v>
      </c>
      <c r="B9" s="27" t="s">
        <v>235</v>
      </c>
      <c r="C9" s="42">
        <v>0.42</v>
      </c>
      <c r="D9" s="42">
        <v>0.4</v>
      </c>
      <c r="E9" s="42">
        <v>0.64</v>
      </c>
      <c r="F9" s="42">
        <v>1.03</v>
      </c>
      <c r="G9" s="42">
        <v>1.99</v>
      </c>
      <c r="H9" s="42">
        <v>2.0499999999999998</v>
      </c>
      <c r="I9" s="42">
        <v>1.93</v>
      </c>
      <c r="J9" s="42">
        <v>1.99</v>
      </c>
      <c r="K9" s="42">
        <v>1.41</v>
      </c>
      <c r="L9" s="42">
        <v>0.69</v>
      </c>
      <c r="M9" s="42">
        <v>0.67</v>
      </c>
      <c r="N9" s="42">
        <v>0.62</v>
      </c>
    </row>
    <row r="10" spans="1:14">
      <c r="A10" s="26" t="s">
        <v>552</v>
      </c>
      <c r="B10" s="27" t="s">
        <v>235</v>
      </c>
      <c r="C10" s="42">
        <v>309.11233160621759</v>
      </c>
      <c r="D10" s="42">
        <v>275.95170984455956</v>
      </c>
      <c r="E10" s="42">
        <v>256.75409326424875</v>
      </c>
      <c r="F10" s="42">
        <v>199.9691191709845</v>
      </c>
      <c r="G10" s="42">
        <v>217.95689119170984</v>
      </c>
      <c r="H10" s="42">
        <v>232.26347150259073</v>
      </c>
      <c r="I10" s="42">
        <v>247.54124352331613</v>
      </c>
      <c r="J10" s="42">
        <v>217.33569948186528</v>
      </c>
      <c r="K10" s="42">
        <v>206.18673575129537</v>
      </c>
      <c r="L10" s="42">
        <v>234.92481865284978</v>
      </c>
      <c r="M10" s="42">
        <v>257.55901554404153</v>
      </c>
      <c r="N10" s="42">
        <v>296.9047150259068</v>
      </c>
    </row>
    <row r="11" spans="1:14">
      <c r="A11" s="26" t="s">
        <v>553</v>
      </c>
      <c r="B11" s="27" t="s">
        <v>235</v>
      </c>
      <c r="C11" s="42">
        <v>43.73152202184523</v>
      </c>
      <c r="D11" s="42">
        <v>45.017143524919135</v>
      </c>
      <c r="E11" s="42">
        <v>50.55435326597533</v>
      </c>
      <c r="F11" s="42">
        <v>43.050760614089043</v>
      </c>
      <c r="G11" s="42">
        <v>42.619605020505354</v>
      </c>
      <c r="H11" s="42">
        <v>43.296487967552999</v>
      </c>
      <c r="I11" s="42">
        <v>42.432940341478229</v>
      </c>
      <c r="J11" s="42">
        <v>42.218665219869536</v>
      </c>
      <c r="K11" s="42">
        <v>42.191476392982509</v>
      </c>
      <c r="L11" s="42">
        <v>42.758040682126243</v>
      </c>
      <c r="M11" s="42">
        <v>44.175761079367398</v>
      </c>
      <c r="N11" s="42">
        <v>45.111472099393971</v>
      </c>
    </row>
    <row r="12" spans="1:14">
      <c r="A12" s="83" t="s">
        <v>554</v>
      </c>
      <c r="B12" s="84" t="s">
        <v>235</v>
      </c>
      <c r="C12" s="85">
        <v>0</v>
      </c>
      <c r="D12" s="85">
        <v>0</v>
      </c>
      <c r="E12" s="85">
        <v>0</v>
      </c>
      <c r="F12" s="85">
        <v>0</v>
      </c>
      <c r="G12" s="85">
        <v>0</v>
      </c>
      <c r="H12" s="85">
        <v>0</v>
      </c>
      <c r="I12" s="85">
        <v>0</v>
      </c>
      <c r="J12" s="85">
        <v>0</v>
      </c>
      <c r="K12" s="85">
        <v>0</v>
      </c>
      <c r="L12" s="85">
        <v>0</v>
      </c>
      <c r="M12" s="85">
        <v>0</v>
      </c>
      <c r="N12" s="85">
        <v>0</v>
      </c>
    </row>
    <row r="16" spans="1:14">
      <c r="A16" s="98" t="s">
        <v>555</v>
      </c>
      <c r="B16" s="98"/>
    </row>
    <row r="17" spans="1:14">
      <c r="A17" s="28" t="s">
        <v>204</v>
      </c>
      <c r="B17" s="28" t="s">
        <v>205</v>
      </c>
      <c r="C17" s="28" t="s">
        <v>537</v>
      </c>
      <c r="D17" s="28" t="s">
        <v>538</v>
      </c>
      <c r="E17" s="28" t="s">
        <v>539</v>
      </c>
      <c r="F17" s="28" t="s">
        <v>540</v>
      </c>
      <c r="G17" s="28" t="s">
        <v>541</v>
      </c>
      <c r="H17" s="28" t="s">
        <v>542</v>
      </c>
      <c r="I17" s="28" t="s">
        <v>543</v>
      </c>
      <c r="J17" s="28" t="s">
        <v>544</v>
      </c>
      <c r="K17" s="28" t="s">
        <v>545</v>
      </c>
      <c r="L17" s="28" t="s">
        <v>546</v>
      </c>
      <c r="M17" s="28" t="s">
        <v>547</v>
      </c>
      <c r="N17" s="28" t="s">
        <v>548</v>
      </c>
    </row>
    <row r="18" spans="1:14">
      <c r="A18" s="28" t="s">
        <v>556</v>
      </c>
      <c r="B18" s="27" t="s">
        <v>557</v>
      </c>
      <c r="C18" s="24">
        <f>$B$72*C7+$B$73*C8+$B$74*C9+C78*C10+$B$75*C11+$B$76*C12</f>
        <v>23863473.916107967</v>
      </c>
      <c r="D18" s="24">
        <f t="shared" ref="D18:N18" si="0">$B$72*D7+$B$73*D8+$B$74*D9+D78*D10+$B$75*D11+$B$76*D12</f>
        <v>21156997.49777602</v>
      </c>
      <c r="E18" s="24">
        <f t="shared" si="0"/>
        <v>21141122.111355253</v>
      </c>
      <c r="F18" s="24">
        <f t="shared" si="0"/>
        <v>16233008.49888858</v>
      </c>
      <c r="G18" s="24">
        <f t="shared" si="0"/>
        <v>20629794.77378688</v>
      </c>
      <c r="H18" s="24">
        <f t="shared" si="0"/>
        <v>24974370.837929741</v>
      </c>
      <c r="I18" s="24">
        <f t="shared" si="0"/>
        <v>25540463.816562694</v>
      </c>
      <c r="J18" s="24">
        <f t="shared" si="0"/>
        <v>20330047.220279191</v>
      </c>
      <c r="K18" s="24">
        <f t="shared" si="0"/>
        <v>18064920.424828801</v>
      </c>
      <c r="L18" s="24">
        <f t="shared" si="0"/>
        <v>17943789.056055643</v>
      </c>
      <c r="M18" s="24">
        <f t="shared" si="0"/>
        <v>18463609.961406566</v>
      </c>
      <c r="N18" s="24">
        <f t="shared" si="0"/>
        <v>19096406.984401233</v>
      </c>
    </row>
    <row r="19" spans="1:14">
      <c r="B19" s="29"/>
    </row>
    <row r="20" spans="1:14">
      <c r="A20" s="28" t="s">
        <v>558</v>
      </c>
      <c r="B20" s="27" t="s">
        <v>557</v>
      </c>
      <c r="C20" s="42">
        <f>SUM(C18:N18)</f>
        <v>247438005.09937853</v>
      </c>
    </row>
    <row r="23" spans="1:14">
      <c r="A23" s="98" t="s">
        <v>369</v>
      </c>
      <c r="B23" s="98"/>
    </row>
    <row r="25" spans="1:14">
      <c r="A25" s="26" t="s">
        <v>559</v>
      </c>
    </row>
    <row r="26" spans="1:14">
      <c r="A26" s="1"/>
      <c r="B26" s="28" t="s">
        <v>205</v>
      </c>
      <c r="C26" s="28" t="s">
        <v>537</v>
      </c>
      <c r="D26" s="28" t="s">
        <v>538</v>
      </c>
      <c r="E26" s="28" t="s">
        <v>539</v>
      </c>
      <c r="F26" s="28" t="s">
        <v>540</v>
      </c>
      <c r="G26" s="28" t="s">
        <v>541</v>
      </c>
      <c r="H26" s="28" t="s">
        <v>542</v>
      </c>
      <c r="I26" s="28" t="s">
        <v>543</v>
      </c>
      <c r="J26" s="28" t="s">
        <v>544</v>
      </c>
      <c r="K26" s="28" t="s">
        <v>545</v>
      </c>
      <c r="L26" s="28" t="s">
        <v>546</v>
      </c>
      <c r="M26" s="28" t="s">
        <v>547</v>
      </c>
      <c r="N26" s="28" t="s">
        <v>548</v>
      </c>
    </row>
    <row r="27" spans="1:14">
      <c r="A27" s="28" t="s">
        <v>560</v>
      </c>
      <c r="B27" s="27" t="s">
        <v>235</v>
      </c>
      <c r="C27" s="24">
        <f>(1-$B$83)*(C7+C8+C9+C10)+C12</f>
        <v>313</v>
      </c>
      <c r="D27" s="24">
        <f t="shared" ref="D27:N27" si="1">(1-$B$83)*(D7+D8+D9+D10)+D12</f>
        <v>281</v>
      </c>
      <c r="E27" s="24">
        <f t="shared" si="1"/>
        <v>275</v>
      </c>
      <c r="F27" s="24">
        <f t="shared" si="1"/>
        <v>212.00000000000003</v>
      </c>
      <c r="G27" s="24">
        <f t="shared" si="1"/>
        <v>226</v>
      </c>
      <c r="H27" s="24">
        <f t="shared" si="1"/>
        <v>243.00000000000006</v>
      </c>
      <c r="I27" s="24">
        <f t="shared" si="1"/>
        <v>257.00000000000006</v>
      </c>
      <c r="J27" s="24">
        <f t="shared" si="1"/>
        <v>228.99999999999997</v>
      </c>
      <c r="K27" s="24">
        <f t="shared" si="1"/>
        <v>218.00000000000003</v>
      </c>
      <c r="L27" s="24">
        <f t="shared" si="1"/>
        <v>248.00000000000006</v>
      </c>
      <c r="M27" s="24">
        <f t="shared" si="1"/>
        <v>271.00000000000006</v>
      </c>
      <c r="N27" s="24">
        <f t="shared" si="1"/>
        <v>307.00000000000006</v>
      </c>
    </row>
    <row r="28" spans="1:14">
      <c r="A28" s="28" t="s">
        <v>561</v>
      </c>
      <c r="B28" s="27"/>
      <c r="C28" s="27" t="s">
        <v>562</v>
      </c>
      <c r="D28" s="27" t="s">
        <v>562</v>
      </c>
      <c r="E28" s="27" t="s">
        <v>562</v>
      </c>
      <c r="F28" s="27" t="s">
        <v>562</v>
      </c>
      <c r="G28" s="27" t="s">
        <v>562</v>
      </c>
      <c r="H28" s="27" t="s">
        <v>562</v>
      </c>
      <c r="I28" s="27" t="s">
        <v>562</v>
      </c>
      <c r="J28" s="27" t="s">
        <v>562</v>
      </c>
      <c r="K28" s="27" t="s">
        <v>562</v>
      </c>
      <c r="L28" s="27" t="s">
        <v>562</v>
      </c>
      <c r="M28" s="27" t="s">
        <v>562</v>
      </c>
      <c r="N28" s="27" t="s">
        <v>562</v>
      </c>
    </row>
    <row r="29" spans="1:14">
      <c r="A29" s="28" t="s">
        <v>563</v>
      </c>
      <c r="B29" s="27" t="s">
        <v>235</v>
      </c>
      <c r="C29" s="38">
        <v>313</v>
      </c>
      <c r="D29" s="38">
        <v>281</v>
      </c>
      <c r="E29" s="38">
        <v>275</v>
      </c>
      <c r="F29" s="38">
        <v>212</v>
      </c>
      <c r="G29" s="38">
        <v>226</v>
      </c>
      <c r="H29" s="38">
        <v>243</v>
      </c>
      <c r="I29" s="38">
        <v>257</v>
      </c>
      <c r="J29" s="38">
        <v>229</v>
      </c>
      <c r="K29" s="38">
        <v>218</v>
      </c>
      <c r="L29" s="38">
        <v>248</v>
      </c>
      <c r="M29" s="38">
        <v>271</v>
      </c>
      <c r="N29" s="38">
        <v>307</v>
      </c>
    </row>
    <row r="31" spans="1:14">
      <c r="A31" s="28" t="s">
        <v>564</v>
      </c>
    </row>
    <row r="32" spans="1:14">
      <c r="A32" s="1"/>
      <c r="B32" s="26" t="s">
        <v>205</v>
      </c>
      <c r="C32" s="26" t="s">
        <v>537</v>
      </c>
      <c r="D32" s="26" t="s">
        <v>538</v>
      </c>
      <c r="E32" s="26" t="s">
        <v>539</v>
      </c>
      <c r="F32" s="26" t="s">
        <v>540</v>
      </c>
      <c r="G32" s="26" t="s">
        <v>541</v>
      </c>
      <c r="H32" s="26" t="s">
        <v>542</v>
      </c>
      <c r="I32" s="26" t="s">
        <v>543</v>
      </c>
      <c r="J32" s="26" t="s">
        <v>544</v>
      </c>
      <c r="K32" s="26" t="s">
        <v>545</v>
      </c>
      <c r="L32" s="26" t="s">
        <v>546</v>
      </c>
      <c r="M32" s="26" t="s">
        <v>547</v>
      </c>
      <c r="N32" s="26" t="s">
        <v>548</v>
      </c>
    </row>
    <row r="33" spans="1:14">
      <c r="A33" s="28" t="s">
        <v>565</v>
      </c>
      <c r="B33" s="27" t="s">
        <v>235</v>
      </c>
      <c r="C33" s="24">
        <f>C11</f>
        <v>43.73152202184523</v>
      </c>
      <c r="D33" s="24">
        <f t="shared" ref="D33:N33" si="2">D11</f>
        <v>45.017143524919135</v>
      </c>
      <c r="E33" s="24">
        <f t="shared" si="2"/>
        <v>50.55435326597533</v>
      </c>
      <c r="F33" s="24">
        <f t="shared" si="2"/>
        <v>43.050760614089043</v>
      </c>
      <c r="G33" s="24">
        <f t="shared" si="2"/>
        <v>42.619605020505354</v>
      </c>
      <c r="H33" s="24">
        <f t="shared" si="2"/>
        <v>43.296487967552999</v>
      </c>
      <c r="I33" s="24">
        <f t="shared" si="2"/>
        <v>42.432940341478229</v>
      </c>
      <c r="J33" s="24">
        <f t="shared" si="2"/>
        <v>42.218665219869536</v>
      </c>
      <c r="K33" s="24">
        <f t="shared" si="2"/>
        <v>42.191476392982509</v>
      </c>
      <c r="L33" s="24">
        <f t="shared" si="2"/>
        <v>42.758040682126243</v>
      </c>
      <c r="M33" s="24">
        <f t="shared" si="2"/>
        <v>44.175761079367398</v>
      </c>
      <c r="N33" s="24">
        <f t="shared" si="2"/>
        <v>45.111472099393971</v>
      </c>
    </row>
    <row r="34" spans="1:14">
      <c r="A34" s="28" t="s">
        <v>561</v>
      </c>
      <c r="B34" s="27"/>
      <c r="C34" s="27" t="s">
        <v>566</v>
      </c>
      <c r="D34" s="27" t="s">
        <v>566</v>
      </c>
      <c r="E34" s="27" t="s">
        <v>566</v>
      </c>
      <c r="F34" s="27" t="s">
        <v>566</v>
      </c>
      <c r="G34" s="27" t="s">
        <v>566</v>
      </c>
      <c r="H34" s="27" t="s">
        <v>566</v>
      </c>
      <c r="I34" s="27" t="s">
        <v>566</v>
      </c>
      <c r="J34" s="27" t="s">
        <v>566</v>
      </c>
      <c r="K34" s="27" t="s">
        <v>566</v>
      </c>
      <c r="L34" s="27" t="s">
        <v>566</v>
      </c>
      <c r="M34" s="27" t="s">
        <v>566</v>
      </c>
      <c r="N34" s="27" t="s">
        <v>566</v>
      </c>
    </row>
    <row r="35" spans="1:14">
      <c r="A35" s="28" t="s">
        <v>567</v>
      </c>
      <c r="B35" s="27" t="s">
        <v>235</v>
      </c>
      <c r="C35" s="38">
        <f>DATOSMENSUALES!C16</f>
        <v>43.73152202184523</v>
      </c>
      <c r="D35" s="38">
        <f>DATOSMENSUALES!D16</f>
        <v>45.017143524919135</v>
      </c>
      <c r="E35" s="38">
        <f>DATOSMENSUALES!E16</f>
        <v>50.55435326597533</v>
      </c>
      <c r="F35" s="38">
        <f>DATOSMENSUALES!F16</f>
        <v>43.050760614089043</v>
      </c>
      <c r="G35" s="38">
        <f>DATOSMENSUALES!G16</f>
        <v>42.619605020505354</v>
      </c>
      <c r="H35" s="38">
        <f>DATOSMENSUALES!H16</f>
        <v>43.296487967552999</v>
      </c>
      <c r="I35" s="38">
        <f>DATOSMENSUALES!I16</f>
        <v>42.432940341478229</v>
      </c>
      <c r="J35" s="38">
        <f>DATOSMENSUALES!J16</f>
        <v>42.218665219869536</v>
      </c>
      <c r="K35" s="38">
        <f>DATOSMENSUALES!K16</f>
        <v>42.191476392982509</v>
      </c>
      <c r="L35" s="38">
        <f>DATOSMENSUALES!L16</f>
        <v>42.758040682126243</v>
      </c>
      <c r="M35" s="38">
        <f>DATOSMENSUALES!M16</f>
        <v>44.175761079367398</v>
      </c>
      <c r="N35" s="38">
        <f>DATOSMENSUALES!N16</f>
        <v>45.111472099393971</v>
      </c>
    </row>
    <row r="36" spans="1:14">
      <c r="A36" s="28" t="s">
        <v>568</v>
      </c>
      <c r="B36" s="27" t="s">
        <v>235</v>
      </c>
      <c r="C36" s="24"/>
      <c r="D36" s="24"/>
      <c r="E36" s="24"/>
      <c r="F36" s="24"/>
      <c r="G36" s="24"/>
      <c r="H36" s="24"/>
      <c r="I36" s="24"/>
      <c r="J36" s="24"/>
      <c r="K36" s="24"/>
      <c r="L36" s="24"/>
      <c r="M36" s="24"/>
      <c r="N36" s="24"/>
    </row>
    <row r="39" spans="1:14" ht="14.45" customHeight="1">
      <c r="A39" s="102" t="s">
        <v>569</v>
      </c>
      <c r="B39" s="102"/>
      <c r="C39" s="102"/>
    </row>
    <row r="40" spans="1:14">
      <c r="A40" s="19"/>
    </row>
    <row r="41" spans="1:14">
      <c r="A41" s="28" t="s">
        <v>570</v>
      </c>
      <c r="B41" s="28" t="s">
        <v>205</v>
      </c>
      <c r="C41" s="28" t="s">
        <v>537</v>
      </c>
      <c r="D41" s="28" t="s">
        <v>538</v>
      </c>
      <c r="E41" s="28" t="s">
        <v>539</v>
      </c>
      <c r="F41" s="28" t="s">
        <v>540</v>
      </c>
      <c r="G41" s="28" t="s">
        <v>541</v>
      </c>
      <c r="H41" s="28" t="s">
        <v>542</v>
      </c>
      <c r="I41" s="28" t="s">
        <v>543</v>
      </c>
      <c r="J41" s="28" t="s">
        <v>544</v>
      </c>
      <c r="K41" s="28" t="s">
        <v>545</v>
      </c>
      <c r="L41" s="28" t="s">
        <v>546</v>
      </c>
      <c r="M41" s="28" t="s">
        <v>547</v>
      </c>
      <c r="N41" s="28" t="s">
        <v>548</v>
      </c>
    </row>
    <row r="42" spans="1:14">
      <c r="A42" s="28" t="s">
        <v>560</v>
      </c>
      <c r="B42" s="27" t="s">
        <v>235</v>
      </c>
      <c r="C42" s="24">
        <f>C7</f>
        <v>14.82</v>
      </c>
      <c r="D42" s="24">
        <f t="shared" ref="D42:N42" si="3">D7</f>
        <v>14.84</v>
      </c>
      <c r="E42" s="24">
        <f t="shared" si="3"/>
        <v>27.58</v>
      </c>
      <c r="F42" s="24">
        <f t="shared" si="3"/>
        <v>18.149999999999999</v>
      </c>
      <c r="G42" s="24">
        <f t="shared" si="3"/>
        <v>8.33</v>
      </c>
      <c r="H42" s="24">
        <f t="shared" si="3"/>
        <v>6.01</v>
      </c>
      <c r="I42" s="24">
        <f t="shared" si="3"/>
        <v>6.18</v>
      </c>
      <c r="J42" s="24">
        <f t="shared" si="3"/>
        <v>7.81</v>
      </c>
      <c r="K42" s="24">
        <f t="shared" si="3"/>
        <v>10.24</v>
      </c>
      <c r="L42" s="24">
        <f t="shared" si="3"/>
        <v>13.91</v>
      </c>
      <c r="M42" s="24">
        <f t="shared" si="3"/>
        <v>17.78</v>
      </c>
      <c r="N42" s="24">
        <f t="shared" si="3"/>
        <v>19.7</v>
      </c>
    </row>
    <row r="43" spans="1:14">
      <c r="A43" s="28" t="s">
        <v>561</v>
      </c>
      <c r="B43" s="27"/>
      <c r="C43" s="27" t="s">
        <v>562</v>
      </c>
      <c r="D43" s="27" t="s">
        <v>562</v>
      </c>
      <c r="E43" s="27" t="s">
        <v>562</v>
      </c>
      <c r="F43" s="27" t="s">
        <v>562</v>
      </c>
      <c r="G43" s="27" t="s">
        <v>562</v>
      </c>
      <c r="H43" s="27" t="s">
        <v>562</v>
      </c>
      <c r="I43" s="27" t="s">
        <v>562</v>
      </c>
      <c r="J43" s="27" t="s">
        <v>562</v>
      </c>
      <c r="K43" s="27" t="s">
        <v>562</v>
      </c>
      <c r="L43" s="27" t="s">
        <v>562</v>
      </c>
      <c r="M43" s="27" t="s">
        <v>562</v>
      </c>
      <c r="N43" s="27" t="s">
        <v>562</v>
      </c>
    </row>
    <row r="44" spans="1:14">
      <c r="A44" s="28" t="s">
        <v>571</v>
      </c>
      <c r="B44" s="27" t="s">
        <v>235</v>
      </c>
      <c r="C44" s="38">
        <v>14.82</v>
      </c>
      <c r="D44" s="38">
        <v>14.84</v>
      </c>
      <c r="E44" s="38">
        <v>27.58</v>
      </c>
      <c r="F44" s="38">
        <v>18.149999999999999</v>
      </c>
      <c r="G44" s="38">
        <v>8.33</v>
      </c>
      <c r="H44" s="38">
        <v>6.01</v>
      </c>
      <c r="I44" s="38">
        <v>6.18</v>
      </c>
      <c r="J44" s="38">
        <v>7.81</v>
      </c>
      <c r="K44" s="38">
        <v>10.24</v>
      </c>
      <c r="L44" s="38">
        <v>13.91</v>
      </c>
      <c r="M44" s="38">
        <v>17.78</v>
      </c>
      <c r="N44" s="38">
        <v>19.7</v>
      </c>
    </row>
    <row r="45" spans="1:14">
      <c r="A45" s="28"/>
      <c r="B45" s="27"/>
      <c r="C45" s="24"/>
      <c r="D45" s="24"/>
      <c r="E45" s="24"/>
      <c r="F45" s="24"/>
      <c r="G45" s="24"/>
      <c r="H45" s="24"/>
      <c r="I45" s="24"/>
      <c r="J45" s="24"/>
      <c r="K45" s="24"/>
      <c r="L45" s="24"/>
      <c r="M45" s="24"/>
      <c r="N45" s="24"/>
    </row>
    <row r="48" spans="1:14">
      <c r="A48" s="28" t="s">
        <v>572</v>
      </c>
      <c r="B48" s="28" t="s">
        <v>205</v>
      </c>
      <c r="C48" s="28" t="s">
        <v>537</v>
      </c>
      <c r="D48" s="28" t="s">
        <v>538</v>
      </c>
      <c r="E48" s="28" t="s">
        <v>539</v>
      </c>
      <c r="F48" s="28" t="s">
        <v>540</v>
      </c>
      <c r="G48" s="28" t="s">
        <v>541</v>
      </c>
      <c r="H48" s="28" t="s">
        <v>542</v>
      </c>
      <c r="I48" s="28" t="s">
        <v>543</v>
      </c>
      <c r="J48" s="28" t="s">
        <v>544</v>
      </c>
      <c r="K48" s="28" t="s">
        <v>545</v>
      </c>
      <c r="L48" s="28" t="s">
        <v>546</v>
      </c>
      <c r="M48" s="28" t="s">
        <v>547</v>
      </c>
      <c r="N48" s="28" t="s">
        <v>548</v>
      </c>
    </row>
    <row r="49" spans="1:14">
      <c r="A49" s="28" t="s">
        <v>560</v>
      </c>
      <c r="B49" s="27" t="s">
        <v>235</v>
      </c>
      <c r="C49" s="24">
        <f>C8</f>
        <v>0</v>
      </c>
      <c r="D49" s="24">
        <f t="shared" ref="D49:N49" si="4">D8</f>
        <v>0</v>
      </c>
      <c r="E49" s="24">
        <f t="shared" si="4"/>
        <v>0</v>
      </c>
      <c r="F49" s="24">
        <f t="shared" si="4"/>
        <v>0.54</v>
      </c>
      <c r="G49" s="24">
        <f t="shared" si="4"/>
        <v>5.92</v>
      </c>
      <c r="H49" s="24">
        <f t="shared" si="4"/>
        <v>11.49</v>
      </c>
      <c r="I49" s="24">
        <f t="shared" si="4"/>
        <v>10.67</v>
      </c>
      <c r="J49" s="24">
        <f t="shared" si="4"/>
        <v>10.17</v>
      </c>
      <c r="K49" s="24">
        <f t="shared" si="4"/>
        <v>8.07</v>
      </c>
      <c r="L49" s="24">
        <f t="shared" si="4"/>
        <v>7.47</v>
      </c>
      <c r="M49" s="24">
        <f t="shared" si="4"/>
        <v>4.82</v>
      </c>
      <c r="N49" s="24">
        <f t="shared" si="4"/>
        <v>0.91</v>
      </c>
    </row>
    <row r="50" spans="1:14">
      <c r="A50" s="28" t="s">
        <v>561</v>
      </c>
      <c r="B50" s="27"/>
      <c r="C50" s="27" t="s">
        <v>562</v>
      </c>
      <c r="D50" s="27" t="s">
        <v>562</v>
      </c>
      <c r="E50" s="27" t="s">
        <v>562</v>
      </c>
      <c r="F50" s="27" t="s">
        <v>562</v>
      </c>
      <c r="G50" s="27" t="s">
        <v>562</v>
      </c>
      <c r="H50" s="27" t="s">
        <v>562</v>
      </c>
      <c r="I50" s="27" t="s">
        <v>562</v>
      </c>
      <c r="J50" s="27" t="s">
        <v>562</v>
      </c>
      <c r="K50" s="27" t="s">
        <v>562</v>
      </c>
      <c r="L50" s="27" t="s">
        <v>562</v>
      </c>
      <c r="M50" s="27" t="s">
        <v>562</v>
      </c>
      <c r="N50" s="27" t="s">
        <v>562</v>
      </c>
    </row>
    <row r="51" spans="1:14">
      <c r="A51" s="28" t="s">
        <v>573</v>
      </c>
      <c r="B51" s="27" t="s">
        <v>235</v>
      </c>
      <c r="C51" s="38">
        <v>0</v>
      </c>
      <c r="D51" s="38">
        <v>0</v>
      </c>
      <c r="E51" s="38">
        <v>0</v>
      </c>
      <c r="F51" s="38">
        <v>0.54</v>
      </c>
      <c r="G51" s="38">
        <v>5.92</v>
      </c>
      <c r="H51" s="38">
        <v>11.49</v>
      </c>
      <c r="I51" s="38">
        <v>10.67</v>
      </c>
      <c r="J51" s="38">
        <v>10.17</v>
      </c>
      <c r="K51" s="38">
        <v>8.07</v>
      </c>
      <c r="L51" s="38">
        <v>7.47</v>
      </c>
      <c r="M51" s="38">
        <v>4.82</v>
      </c>
      <c r="N51" s="38">
        <v>0.91</v>
      </c>
    </row>
    <row r="52" spans="1:14">
      <c r="A52" s="28"/>
      <c r="B52" s="27"/>
      <c r="C52" s="24"/>
      <c r="D52" s="24"/>
      <c r="E52" s="24"/>
      <c r="F52" s="24"/>
      <c r="G52" s="24"/>
      <c r="H52" s="24"/>
      <c r="I52" s="24"/>
      <c r="J52" s="24"/>
      <c r="K52" s="24"/>
      <c r="L52" s="24"/>
      <c r="M52" s="24"/>
      <c r="N52" s="24"/>
    </row>
    <row r="53" spans="1:14">
      <c r="C53" s="18"/>
      <c r="D53" s="18"/>
      <c r="E53" s="18"/>
      <c r="F53" s="18"/>
      <c r="G53" s="18"/>
      <c r="H53" s="18"/>
      <c r="I53" s="18"/>
      <c r="J53" s="18"/>
      <c r="K53" s="18"/>
      <c r="L53" s="18"/>
      <c r="M53" s="18"/>
      <c r="N53" s="18"/>
    </row>
    <row r="54" spans="1:14">
      <c r="A54" s="28" t="s">
        <v>574</v>
      </c>
      <c r="B54" s="25" t="s">
        <v>205</v>
      </c>
      <c r="C54" s="25" t="s">
        <v>537</v>
      </c>
      <c r="D54" s="25" t="s">
        <v>538</v>
      </c>
      <c r="E54" s="25" t="s">
        <v>539</v>
      </c>
      <c r="F54" s="25" t="s">
        <v>540</v>
      </c>
      <c r="G54" s="25" t="s">
        <v>541</v>
      </c>
      <c r="H54" s="25" t="s">
        <v>542</v>
      </c>
      <c r="I54" s="25" t="s">
        <v>543</v>
      </c>
      <c r="J54" s="25" t="s">
        <v>544</v>
      </c>
      <c r="K54" s="25" t="s">
        <v>545</v>
      </c>
      <c r="L54" s="25" t="s">
        <v>546</v>
      </c>
      <c r="M54" s="25" t="s">
        <v>547</v>
      </c>
      <c r="N54" s="25" t="s">
        <v>548</v>
      </c>
    </row>
    <row r="55" spans="1:14">
      <c r="A55" s="30" t="s">
        <v>560</v>
      </c>
      <c r="B55" s="31" t="s">
        <v>235</v>
      </c>
      <c r="C55" s="39">
        <f>C9</f>
        <v>0.42</v>
      </c>
      <c r="D55" s="39">
        <f t="shared" ref="D55:N55" si="5">D9</f>
        <v>0.4</v>
      </c>
      <c r="E55" s="39">
        <f t="shared" si="5"/>
        <v>0.64</v>
      </c>
      <c r="F55" s="39">
        <f t="shared" si="5"/>
        <v>1.03</v>
      </c>
      <c r="G55" s="39">
        <f t="shared" si="5"/>
        <v>1.99</v>
      </c>
      <c r="H55" s="39">
        <f t="shared" si="5"/>
        <v>2.0499999999999998</v>
      </c>
      <c r="I55" s="39">
        <f t="shared" si="5"/>
        <v>1.93</v>
      </c>
      <c r="J55" s="39">
        <f t="shared" si="5"/>
        <v>1.99</v>
      </c>
      <c r="K55" s="39">
        <f t="shared" si="5"/>
        <v>1.41</v>
      </c>
      <c r="L55" s="39">
        <f t="shared" si="5"/>
        <v>0.69</v>
      </c>
      <c r="M55" s="39">
        <f t="shared" si="5"/>
        <v>0.67</v>
      </c>
      <c r="N55" s="39">
        <f t="shared" si="5"/>
        <v>0.62</v>
      </c>
    </row>
    <row r="56" spans="1:14">
      <c r="A56" s="30" t="s">
        <v>561</v>
      </c>
      <c r="B56" s="31"/>
      <c r="C56" s="31" t="s">
        <v>562</v>
      </c>
      <c r="D56" s="31" t="s">
        <v>562</v>
      </c>
      <c r="E56" s="31" t="s">
        <v>562</v>
      </c>
      <c r="F56" s="31" t="s">
        <v>562</v>
      </c>
      <c r="G56" s="31" t="s">
        <v>562</v>
      </c>
      <c r="H56" s="31" t="s">
        <v>562</v>
      </c>
      <c r="I56" s="31" t="s">
        <v>562</v>
      </c>
      <c r="J56" s="31" t="s">
        <v>562</v>
      </c>
      <c r="K56" s="31" t="s">
        <v>562</v>
      </c>
      <c r="L56" s="31" t="s">
        <v>562</v>
      </c>
      <c r="M56" s="31" t="s">
        <v>562</v>
      </c>
      <c r="N56" s="31" t="s">
        <v>562</v>
      </c>
    </row>
    <row r="57" spans="1:14">
      <c r="A57" s="30" t="s">
        <v>573</v>
      </c>
      <c r="B57" s="31" t="s">
        <v>235</v>
      </c>
      <c r="C57" s="40">
        <v>0.42</v>
      </c>
      <c r="D57" s="40">
        <v>0.4</v>
      </c>
      <c r="E57" s="40">
        <v>0.64</v>
      </c>
      <c r="F57" s="40">
        <v>1.03</v>
      </c>
      <c r="G57" s="40">
        <v>1.99</v>
      </c>
      <c r="H57" s="40">
        <v>2.0499999999999998</v>
      </c>
      <c r="I57" s="40">
        <v>1.93</v>
      </c>
      <c r="J57" s="40">
        <v>1.99</v>
      </c>
      <c r="K57" s="40">
        <v>1.41</v>
      </c>
      <c r="L57" s="40">
        <v>0.69</v>
      </c>
      <c r="M57" s="40">
        <v>0.67</v>
      </c>
      <c r="N57" s="40">
        <v>0.62</v>
      </c>
    </row>
    <row r="58" spans="1:14">
      <c r="A58" s="28"/>
      <c r="B58" s="27"/>
      <c r="C58" s="31"/>
      <c r="D58" s="31"/>
      <c r="E58" s="31"/>
      <c r="F58" s="31"/>
      <c r="G58" s="31"/>
      <c r="H58" s="31"/>
      <c r="I58" s="31"/>
      <c r="J58" s="31"/>
      <c r="K58" s="31"/>
      <c r="L58" s="31"/>
      <c r="M58" s="31"/>
      <c r="N58" s="31"/>
    </row>
    <row r="59" spans="1:14">
      <c r="C59" s="18"/>
      <c r="D59" s="18"/>
      <c r="E59" s="18"/>
      <c r="F59" s="18"/>
      <c r="G59" s="18"/>
      <c r="H59" s="18"/>
      <c r="I59" s="18"/>
      <c r="J59" s="18"/>
      <c r="K59" s="18"/>
      <c r="L59" s="18"/>
      <c r="M59" s="18"/>
      <c r="N59" s="18"/>
    </row>
    <row r="60" spans="1:14">
      <c r="C60" s="18"/>
      <c r="D60" s="18"/>
      <c r="E60" s="18"/>
      <c r="F60" s="18"/>
      <c r="G60" s="18"/>
      <c r="H60" s="18"/>
      <c r="I60" s="18"/>
      <c r="J60" s="18"/>
      <c r="K60" s="18"/>
      <c r="L60" s="18"/>
      <c r="M60" s="18"/>
      <c r="N60" s="18"/>
    </row>
    <row r="61" spans="1:14">
      <c r="A61" s="98" t="s">
        <v>575</v>
      </c>
      <c r="B61" s="98"/>
      <c r="C61" s="18"/>
      <c r="D61" s="18"/>
      <c r="E61" s="18"/>
      <c r="F61" s="18"/>
      <c r="G61" s="18"/>
      <c r="H61" s="18"/>
      <c r="I61" s="18"/>
      <c r="J61" s="18"/>
      <c r="K61" s="18"/>
      <c r="L61" s="18"/>
      <c r="M61" s="18"/>
      <c r="N61" s="18"/>
    </row>
    <row r="62" spans="1:14">
      <c r="A62" s="32"/>
      <c r="B62" s="28" t="s">
        <v>205</v>
      </c>
      <c r="C62" s="28" t="s">
        <v>537</v>
      </c>
      <c r="D62" s="28" t="s">
        <v>538</v>
      </c>
      <c r="E62" s="28" t="s">
        <v>539</v>
      </c>
      <c r="F62" s="28" t="s">
        <v>540</v>
      </c>
      <c r="G62" s="28" t="s">
        <v>541</v>
      </c>
      <c r="H62" s="28" t="s">
        <v>542</v>
      </c>
      <c r="I62" s="28" t="s">
        <v>543</v>
      </c>
      <c r="J62" s="28" t="s">
        <v>544</v>
      </c>
      <c r="K62" s="28" t="s">
        <v>545</v>
      </c>
      <c r="L62" s="28" t="s">
        <v>546</v>
      </c>
      <c r="M62" s="28" t="s">
        <v>547</v>
      </c>
      <c r="N62" s="28" t="s">
        <v>548</v>
      </c>
    </row>
    <row r="63" spans="1:14">
      <c r="A63" s="28" t="s">
        <v>560</v>
      </c>
      <c r="B63" s="36" t="s">
        <v>235</v>
      </c>
      <c r="C63" s="41">
        <f>C7+C8+C9+C10</f>
        <v>324.3523316062176</v>
      </c>
      <c r="D63" s="41">
        <f t="shared" ref="D63:N63" si="6">D7+D8+D9+D10</f>
        <v>291.19170984455957</v>
      </c>
      <c r="E63" s="41">
        <f t="shared" si="6"/>
        <v>284.97409326424872</v>
      </c>
      <c r="F63" s="41">
        <f t="shared" si="6"/>
        <v>219.6891191709845</v>
      </c>
      <c r="G63" s="41">
        <f t="shared" si="6"/>
        <v>234.19689119170985</v>
      </c>
      <c r="H63" s="41">
        <f t="shared" si="6"/>
        <v>251.81347150259074</v>
      </c>
      <c r="I63" s="41">
        <f t="shared" si="6"/>
        <v>266.32124352331613</v>
      </c>
      <c r="J63" s="41">
        <f t="shared" si="6"/>
        <v>237.30569948186528</v>
      </c>
      <c r="K63" s="41">
        <f t="shared" si="6"/>
        <v>225.90673575129537</v>
      </c>
      <c r="L63" s="41">
        <f t="shared" si="6"/>
        <v>256.9948186528498</v>
      </c>
      <c r="M63" s="41">
        <f t="shared" si="6"/>
        <v>280.82901554404151</v>
      </c>
      <c r="N63" s="41">
        <f t="shared" si="6"/>
        <v>318.13471502590681</v>
      </c>
    </row>
    <row r="64" spans="1:14">
      <c r="A64" s="28" t="s">
        <v>561</v>
      </c>
      <c r="B64" s="37"/>
      <c r="C64" s="27" t="s">
        <v>576</v>
      </c>
      <c r="D64" s="27" t="s">
        <v>576</v>
      </c>
      <c r="E64" s="27" t="s">
        <v>576</v>
      </c>
      <c r="F64" s="27" t="s">
        <v>576</v>
      </c>
      <c r="G64" s="27" t="s">
        <v>576</v>
      </c>
      <c r="H64" s="27" t="s">
        <v>576</v>
      </c>
      <c r="I64" s="27" t="s">
        <v>576</v>
      </c>
      <c r="J64" s="27" t="s">
        <v>576</v>
      </c>
      <c r="K64" s="27" t="s">
        <v>576</v>
      </c>
      <c r="L64" s="27" t="s">
        <v>576</v>
      </c>
      <c r="M64" s="27" t="s">
        <v>576</v>
      </c>
      <c r="N64" s="27" t="s">
        <v>576</v>
      </c>
    </row>
    <row r="65" spans="1:14">
      <c r="A65" s="28" t="s">
        <v>577</v>
      </c>
      <c r="B65" s="37" t="s">
        <v>235</v>
      </c>
      <c r="C65" s="38">
        <v>803.16</v>
      </c>
      <c r="D65" s="38">
        <v>803.16</v>
      </c>
      <c r="E65" s="38">
        <v>803.16</v>
      </c>
      <c r="F65" s="38">
        <v>803.16</v>
      </c>
      <c r="G65" s="38">
        <v>803.16</v>
      </c>
      <c r="H65" s="38">
        <v>803.16</v>
      </c>
      <c r="I65" s="38">
        <v>803.16</v>
      </c>
      <c r="J65" s="38">
        <v>803.16</v>
      </c>
      <c r="K65" s="38">
        <v>803.16</v>
      </c>
      <c r="L65" s="38">
        <v>803.16</v>
      </c>
      <c r="M65" s="38">
        <v>803.16</v>
      </c>
      <c r="N65" s="38">
        <v>803.16</v>
      </c>
    </row>
    <row r="66" spans="1:14">
      <c r="A66" s="28" t="s">
        <v>568</v>
      </c>
      <c r="B66" s="37" t="s">
        <v>235</v>
      </c>
      <c r="C66" s="24"/>
      <c r="D66" s="24"/>
      <c r="E66" s="24"/>
      <c r="F66" s="24"/>
      <c r="G66" s="24"/>
      <c r="H66" s="24"/>
      <c r="I66" s="24"/>
      <c r="J66" s="24"/>
      <c r="K66" s="24"/>
      <c r="L66" s="24"/>
      <c r="M66" s="24"/>
      <c r="N66" s="24"/>
    </row>
    <row r="68" spans="1:14">
      <c r="A68" s="98" t="s">
        <v>578</v>
      </c>
      <c r="B68" s="98"/>
      <c r="C68" t="s">
        <v>579</v>
      </c>
    </row>
    <row r="70" spans="1:14">
      <c r="A70" s="98" t="s">
        <v>580</v>
      </c>
      <c r="B70" s="98"/>
    </row>
    <row r="71" spans="1:14">
      <c r="A71" s="28" t="s">
        <v>204</v>
      </c>
      <c r="B71" s="28" t="s">
        <v>27</v>
      </c>
    </row>
    <row r="72" spans="1:14">
      <c r="A72" s="28" t="s">
        <v>581</v>
      </c>
      <c r="B72" s="23">
        <v>101930</v>
      </c>
    </row>
    <row r="73" spans="1:14">
      <c r="A73" s="35" t="s">
        <v>582</v>
      </c>
      <c r="B73" s="20">
        <v>124370</v>
      </c>
    </row>
    <row r="74" spans="1:14">
      <c r="A74" s="35" t="s">
        <v>583</v>
      </c>
      <c r="B74" s="20">
        <v>159420</v>
      </c>
    </row>
    <row r="75" spans="1:14">
      <c r="A75" s="35" t="s">
        <v>584</v>
      </c>
      <c r="B75" s="21">
        <v>1388.89</v>
      </c>
    </row>
    <row r="76" spans="1:14">
      <c r="A76" s="86" t="s">
        <v>585</v>
      </c>
      <c r="B76" s="17">
        <v>1500000</v>
      </c>
    </row>
    <row r="77" spans="1:14">
      <c r="A77" s="22"/>
      <c r="B77" s="28" t="s">
        <v>205</v>
      </c>
      <c r="C77" s="28" t="s">
        <v>537</v>
      </c>
      <c r="D77" s="28" t="s">
        <v>538</v>
      </c>
      <c r="E77" s="28" t="s">
        <v>539</v>
      </c>
      <c r="F77" s="28" t="s">
        <v>540</v>
      </c>
      <c r="G77" s="28" t="s">
        <v>541</v>
      </c>
      <c r="H77" s="28" t="s">
        <v>542</v>
      </c>
      <c r="I77" s="28" t="s">
        <v>543</v>
      </c>
      <c r="J77" s="28" t="s">
        <v>544</v>
      </c>
      <c r="K77" s="28" t="s">
        <v>545</v>
      </c>
      <c r="L77" s="28" t="s">
        <v>546</v>
      </c>
      <c r="M77" s="28" t="s">
        <v>547</v>
      </c>
      <c r="N77" s="28" t="s">
        <v>548</v>
      </c>
    </row>
    <row r="78" spans="1:14">
      <c r="A78" s="35" t="s">
        <v>586</v>
      </c>
      <c r="B78" s="23" t="s">
        <v>192</v>
      </c>
      <c r="C78" s="33">
        <v>71900</v>
      </c>
      <c r="D78" s="33">
        <v>70730</v>
      </c>
      <c r="E78" s="33">
        <v>70720</v>
      </c>
      <c r="F78" s="33">
        <v>70470</v>
      </c>
      <c r="G78" s="33">
        <v>85650</v>
      </c>
      <c r="H78" s="33">
        <v>97070</v>
      </c>
      <c r="I78" s="33">
        <v>93790</v>
      </c>
      <c r="J78" s="33">
        <v>82330</v>
      </c>
      <c r="K78" s="33">
        <v>76310</v>
      </c>
      <c r="L78" s="33">
        <v>65670</v>
      </c>
      <c r="M78" s="33">
        <v>61670</v>
      </c>
      <c r="N78" s="33">
        <v>56630</v>
      </c>
    </row>
    <row r="81" spans="1:3">
      <c r="A81" s="98" t="s">
        <v>587</v>
      </c>
      <c r="B81" s="98"/>
    </row>
    <row r="82" spans="1:3">
      <c r="B82" s="28" t="s">
        <v>27</v>
      </c>
      <c r="C82" s="28" t="s">
        <v>205</v>
      </c>
    </row>
    <row r="83" spans="1:3">
      <c r="A83" s="28" t="s">
        <v>588</v>
      </c>
      <c r="B83" s="34">
        <v>3.5000000000000003E-2</v>
      </c>
      <c r="C83" t="s">
        <v>226</v>
      </c>
    </row>
  </sheetData>
  <mergeCells count="9">
    <mergeCell ref="A61:B61"/>
    <mergeCell ref="A68:B68"/>
    <mergeCell ref="A70:B70"/>
    <mergeCell ref="A81:B81"/>
    <mergeCell ref="A2:G3"/>
    <mergeCell ref="A5:B5"/>
    <mergeCell ref="A16:B16"/>
    <mergeCell ref="A23:B23"/>
    <mergeCell ref="A39:C39"/>
  </mergeCells>
  <phoneticPr fontId="15"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18B7-3169-4D8A-A232-AB85332D737F}">
  <dimension ref="A1:H156"/>
  <sheetViews>
    <sheetView showGridLines="0" topLeftCell="A138" workbookViewId="0">
      <selection activeCell="J154" sqref="J154"/>
    </sheetView>
  </sheetViews>
  <sheetFormatPr defaultColWidth="11.42578125" defaultRowHeight="14.45"/>
  <cols>
    <col min="1" max="1" width="2.28515625" customWidth="1"/>
    <col min="2" max="2" width="6.42578125" bestFit="1" customWidth="1"/>
    <col min="3" max="3" width="14.5703125" bestFit="1" customWidth="1"/>
    <col min="4" max="5" width="12" bestFit="1" customWidth="1"/>
    <col min="6" max="6" width="12.140625" bestFit="1" customWidth="1"/>
    <col min="7" max="8" width="12" bestFit="1" customWidth="1"/>
  </cols>
  <sheetData>
    <row r="1" spans="1:8">
      <c r="A1" s="4" t="s">
        <v>520</v>
      </c>
    </row>
    <row r="2" spans="1:8">
      <c r="A2" s="4" t="s">
        <v>589</v>
      </c>
    </row>
    <row r="3" spans="1:8">
      <c r="A3" s="4" t="s">
        <v>590</v>
      </c>
    </row>
    <row r="6" spans="1:8" ht="15" thickBot="1">
      <c r="A6" t="s">
        <v>282</v>
      </c>
    </row>
    <row r="7" spans="1:8">
      <c r="B7" s="46"/>
      <c r="C7" s="46"/>
      <c r="D7" s="46" t="s">
        <v>522</v>
      </c>
      <c r="E7" s="46" t="s">
        <v>523</v>
      </c>
      <c r="F7" s="46" t="s">
        <v>524</v>
      </c>
      <c r="G7" s="46" t="s">
        <v>525</v>
      </c>
      <c r="H7" s="46" t="s">
        <v>525</v>
      </c>
    </row>
    <row r="8" spans="1:8" ht="15" thickBot="1">
      <c r="B8" s="47" t="s">
        <v>276</v>
      </c>
      <c r="C8" s="47" t="s">
        <v>277</v>
      </c>
      <c r="D8" s="47" t="s">
        <v>27</v>
      </c>
      <c r="E8" s="47" t="s">
        <v>526</v>
      </c>
      <c r="F8" s="47" t="s">
        <v>527</v>
      </c>
      <c r="G8" s="47" t="s">
        <v>528</v>
      </c>
      <c r="H8" s="47" t="s">
        <v>529</v>
      </c>
    </row>
    <row r="9" spans="1:8">
      <c r="B9" s="45" t="s">
        <v>284</v>
      </c>
      <c r="C9" s="45" t="s">
        <v>285</v>
      </c>
      <c r="D9" s="45">
        <v>14.82</v>
      </c>
      <c r="E9" s="45">
        <v>0</v>
      </c>
      <c r="F9" s="45">
        <v>101930</v>
      </c>
      <c r="G9" s="45">
        <v>1E+30</v>
      </c>
      <c r="H9" s="45">
        <v>1E+30</v>
      </c>
    </row>
    <row r="10" spans="1:8">
      <c r="B10" s="45" t="s">
        <v>287</v>
      </c>
      <c r="C10" s="45" t="s">
        <v>288</v>
      </c>
      <c r="D10" s="45">
        <v>14.84</v>
      </c>
      <c r="E10" s="45">
        <v>0</v>
      </c>
      <c r="F10" s="45">
        <v>101930</v>
      </c>
      <c r="G10" s="45">
        <v>1E+30</v>
      </c>
      <c r="H10" s="45">
        <v>1E+30</v>
      </c>
    </row>
    <row r="11" spans="1:8">
      <c r="B11" s="45" t="s">
        <v>289</v>
      </c>
      <c r="C11" s="45" t="s">
        <v>290</v>
      </c>
      <c r="D11" s="45">
        <v>27.58</v>
      </c>
      <c r="E11" s="45">
        <v>0</v>
      </c>
      <c r="F11" s="45">
        <v>101930</v>
      </c>
      <c r="G11" s="45">
        <v>1E+30</v>
      </c>
      <c r="H11" s="45">
        <v>1E+30</v>
      </c>
    </row>
    <row r="12" spans="1:8">
      <c r="B12" s="45" t="s">
        <v>291</v>
      </c>
      <c r="C12" s="45" t="s">
        <v>292</v>
      </c>
      <c r="D12" s="45">
        <v>18.149999999999999</v>
      </c>
      <c r="E12" s="45">
        <v>0</v>
      </c>
      <c r="F12" s="45">
        <v>101930</v>
      </c>
      <c r="G12" s="45">
        <v>1E+30</v>
      </c>
      <c r="H12" s="45">
        <v>1E+30</v>
      </c>
    </row>
    <row r="13" spans="1:8">
      <c r="B13" s="45" t="s">
        <v>293</v>
      </c>
      <c r="C13" s="45" t="s">
        <v>294</v>
      </c>
      <c r="D13" s="45">
        <v>8.33</v>
      </c>
      <c r="E13" s="45">
        <v>0</v>
      </c>
      <c r="F13" s="45">
        <v>101930</v>
      </c>
      <c r="G13" s="45">
        <v>1E+30</v>
      </c>
      <c r="H13" s="45">
        <v>1E+30</v>
      </c>
    </row>
    <row r="14" spans="1:8">
      <c r="B14" s="45" t="s">
        <v>295</v>
      </c>
      <c r="C14" s="45" t="s">
        <v>296</v>
      </c>
      <c r="D14" s="45">
        <v>6.01</v>
      </c>
      <c r="E14" s="45">
        <v>0</v>
      </c>
      <c r="F14" s="45">
        <v>101930</v>
      </c>
      <c r="G14" s="45">
        <v>1E+30</v>
      </c>
      <c r="H14" s="45">
        <v>1E+30</v>
      </c>
    </row>
    <row r="15" spans="1:8">
      <c r="B15" s="45" t="s">
        <v>297</v>
      </c>
      <c r="C15" s="45" t="s">
        <v>298</v>
      </c>
      <c r="D15" s="45">
        <v>6.18</v>
      </c>
      <c r="E15" s="45">
        <v>0</v>
      </c>
      <c r="F15" s="45">
        <v>101930</v>
      </c>
      <c r="G15" s="45">
        <v>1E+30</v>
      </c>
      <c r="H15" s="45">
        <v>1E+30</v>
      </c>
    </row>
    <row r="16" spans="1:8">
      <c r="B16" s="45" t="s">
        <v>299</v>
      </c>
      <c r="C16" s="45" t="s">
        <v>300</v>
      </c>
      <c r="D16" s="45">
        <v>7.81</v>
      </c>
      <c r="E16" s="45">
        <v>0</v>
      </c>
      <c r="F16" s="45">
        <v>101930</v>
      </c>
      <c r="G16" s="45">
        <v>1E+30</v>
      </c>
      <c r="H16" s="45">
        <v>1E+30</v>
      </c>
    </row>
    <row r="17" spans="2:8">
      <c r="B17" s="45" t="s">
        <v>301</v>
      </c>
      <c r="C17" s="45" t="s">
        <v>302</v>
      </c>
      <c r="D17" s="45">
        <v>10.24</v>
      </c>
      <c r="E17" s="45">
        <v>0</v>
      </c>
      <c r="F17" s="45">
        <v>101930</v>
      </c>
      <c r="G17" s="45">
        <v>1E+30</v>
      </c>
      <c r="H17" s="45">
        <v>1E+30</v>
      </c>
    </row>
    <row r="18" spans="2:8">
      <c r="B18" s="45" t="s">
        <v>303</v>
      </c>
      <c r="C18" s="45" t="s">
        <v>304</v>
      </c>
      <c r="D18" s="45">
        <v>13.91</v>
      </c>
      <c r="E18" s="45">
        <v>0</v>
      </c>
      <c r="F18" s="45">
        <v>101930</v>
      </c>
      <c r="G18" s="45">
        <v>1E+30</v>
      </c>
      <c r="H18" s="45">
        <v>1E+30</v>
      </c>
    </row>
    <row r="19" spans="2:8">
      <c r="B19" s="45" t="s">
        <v>305</v>
      </c>
      <c r="C19" s="45" t="s">
        <v>306</v>
      </c>
      <c r="D19" s="45">
        <v>17.78</v>
      </c>
      <c r="E19" s="45">
        <v>0</v>
      </c>
      <c r="F19" s="45">
        <v>101930</v>
      </c>
      <c r="G19" s="45">
        <v>1E+30</v>
      </c>
      <c r="H19" s="45">
        <v>1E+30</v>
      </c>
    </row>
    <row r="20" spans="2:8">
      <c r="B20" s="45" t="s">
        <v>307</v>
      </c>
      <c r="C20" s="45" t="s">
        <v>308</v>
      </c>
      <c r="D20" s="45">
        <v>19.7</v>
      </c>
      <c r="E20" s="45">
        <v>0</v>
      </c>
      <c r="F20" s="45">
        <v>101930</v>
      </c>
      <c r="G20" s="45">
        <v>1E+30</v>
      </c>
      <c r="H20" s="45">
        <v>1E+30</v>
      </c>
    </row>
    <row r="21" spans="2:8">
      <c r="B21" s="45" t="s">
        <v>309</v>
      </c>
      <c r="C21" s="45" t="s">
        <v>285</v>
      </c>
      <c r="D21" s="45">
        <v>0</v>
      </c>
      <c r="E21" s="45">
        <v>0</v>
      </c>
      <c r="F21" s="45">
        <v>124370</v>
      </c>
      <c r="G21" s="45">
        <v>1E+30</v>
      </c>
      <c r="H21" s="45">
        <v>1E+30</v>
      </c>
    </row>
    <row r="22" spans="2:8">
      <c r="B22" s="45" t="s">
        <v>310</v>
      </c>
      <c r="C22" s="45" t="s">
        <v>288</v>
      </c>
      <c r="D22" s="45">
        <v>0</v>
      </c>
      <c r="E22" s="45">
        <v>0</v>
      </c>
      <c r="F22" s="45">
        <v>124370</v>
      </c>
      <c r="G22" s="45">
        <v>1E+30</v>
      </c>
      <c r="H22" s="45">
        <v>1E+30</v>
      </c>
    </row>
    <row r="23" spans="2:8">
      <c r="B23" s="45" t="s">
        <v>311</v>
      </c>
      <c r="C23" s="45" t="s">
        <v>290</v>
      </c>
      <c r="D23" s="45">
        <v>0</v>
      </c>
      <c r="E23" s="45">
        <v>0</v>
      </c>
      <c r="F23" s="45">
        <v>124370</v>
      </c>
      <c r="G23" s="45">
        <v>1E+30</v>
      </c>
      <c r="H23" s="45">
        <v>1E+30</v>
      </c>
    </row>
    <row r="24" spans="2:8">
      <c r="B24" s="45" t="s">
        <v>312</v>
      </c>
      <c r="C24" s="45" t="s">
        <v>292</v>
      </c>
      <c r="D24" s="45">
        <v>0.54</v>
      </c>
      <c r="E24" s="45">
        <v>0</v>
      </c>
      <c r="F24" s="45">
        <v>124370</v>
      </c>
      <c r="G24" s="45">
        <v>1E+30</v>
      </c>
      <c r="H24" s="45">
        <v>1E+30</v>
      </c>
    </row>
    <row r="25" spans="2:8">
      <c r="B25" s="45" t="s">
        <v>313</v>
      </c>
      <c r="C25" s="45" t="s">
        <v>294</v>
      </c>
      <c r="D25" s="45">
        <v>5.92</v>
      </c>
      <c r="E25" s="45">
        <v>0</v>
      </c>
      <c r="F25" s="45">
        <v>124370</v>
      </c>
      <c r="G25" s="45">
        <v>1E+30</v>
      </c>
      <c r="H25" s="45">
        <v>1E+30</v>
      </c>
    </row>
    <row r="26" spans="2:8">
      <c r="B26" s="45" t="s">
        <v>314</v>
      </c>
      <c r="C26" s="45" t="s">
        <v>296</v>
      </c>
      <c r="D26" s="45">
        <v>11.49</v>
      </c>
      <c r="E26" s="45">
        <v>0</v>
      </c>
      <c r="F26" s="45">
        <v>124370</v>
      </c>
      <c r="G26" s="45">
        <v>1E+30</v>
      </c>
      <c r="H26" s="45">
        <v>1E+30</v>
      </c>
    </row>
    <row r="27" spans="2:8">
      <c r="B27" s="45" t="s">
        <v>315</v>
      </c>
      <c r="C27" s="45" t="s">
        <v>298</v>
      </c>
      <c r="D27" s="45">
        <v>10.67</v>
      </c>
      <c r="E27" s="45">
        <v>0</v>
      </c>
      <c r="F27" s="45">
        <v>124370</v>
      </c>
      <c r="G27" s="45">
        <v>1E+30</v>
      </c>
      <c r="H27" s="45">
        <v>1E+30</v>
      </c>
    </row>
    <row r="28" spans="2:8">
      <c r="B28" s="45" t="s">
        <v>316</v>
      </c>
      <c r="C28" s="45" t="s">
        <v>300</v>
      </c>
      <c r="D28" s="45">
        <v>10.17</v>
      </c>
      <c r="E28" s="45">
        <v>0</v>
      </c>
      <c r="F28" s="45">
        <v>124370</v>
      </c>
      <c r="G28" s="45">
        <v>1E+30</v>
      </c>
      <c r="H28" s="45">
        <v>1E+30</v>
      </c>
    </row>
    <row r="29" spans="2:8">
      <c r="B29" s="45" t="s">
        <v>317</v>
      </c>
      <c r="C29" s="45" t="s">
        <v>302</v>
      </c>
      <c r="D29" s="45">
        <v>8.07</v>
      </c>
      <c r="E29" s="45">
        <v>0</v>
      </c>
      <c r="F29" s="45">
        <v>124370</v>
      </c>
      <c r="G29" s="45">
        <v>1E+30</v>
      </c>
      <c r="H29" s="45">
        <v>1E+30</v>
      </c>
    </row>
    <row r="30" spans="2:8">
      <c r="B30" s="45" t="s">
        <v>318</v>
      </c>
      <c r="C30" s="45" t="s">
        <v>304</v>
      </c>
      <c r="D30" s="45">
        <v>7.47</v>
      </c>
      <c r="E30" s="45">
        <v>0</v>
      </c>
      <c r="F30" s="45">
        <v>124370</v>
      </c>
      <c r="G30" s="45">
        <v>1E+30</v>
      </c>
      <c r="H30" s="45">
        <v>1E+30</v>
      </c>
    </row>
    <row r="31" spans="2:8">
      <c r="B31" s="45" t="s">
        <v>319</v>
      </c>
      <c r="C31" s="45" t="s">
        <v>306</v>
      </c>
      <c r="D31" s="45">
        <v>4.82</v>
      </c>
      <c r="E31" s="45">
        <v>0</v>
      </c>
      <c r="F31" s="45">
        <v>124370</v>
      </c>
      <c r="G31" s="45">
        <v>1E+30</v>
      </c>
      <c r="H31" s="45">
        <v>1E+30</v>
      </c>
    </row>
    <row r="32" spans="2:8">
      <c r="B32" s="45" t="s">
        <v>320</v>
      </c>
      <c r="C32" s="45" t="s">
        <v>308</v>
      </c>
      <c r="D32" s="45">
        <v>0.91</v>
      </c>
      <c r="E32" s="45">
        <v>0</v>
      </c>
      <c r="F32" s="45">
        <v>124370</v>
      </c>
      <c r="G32" s="45">
        <v>1E+30</v>
      </c>
      <c r="H32" s="45">
        <v>1E+30</v>
      </c>
    </row>
    <row r="33" spans="2:8">
      <c r="B33" s="45" t="s">
        <v>321</v>
      </c>
      <c r="C33" s="45" t="s">
        <v>285</v>
      </c>
      <c r="D33" s="45">
        <v>0.42</v>
      </c>
      <c r="E33" s="45">
        <v>0</v>
      </c>
      <c r="F33" s="45">
        <v>159420</v>
      </c>
      <c r="G33" s="45">
        <v>1E+30</v>
      </c>
      <c r="H33" s="45">
        <v>1E+30</v>
      </c>
    </row>
    <row r="34" spans="2:8">
      <c r="B34" s="45" t="s">
        <v>322</v>
      </c>
      <c r="C34" s="45" t="s">
        <v>288</v>
      </c>
      <c r="D34" s="45">
        <v>0.4</v>
      </c>
      <c r="E34" s="45">
        <v>0</v>
      </c>
      <c r="F34" s="45">
        <v>159420</v>
      </c>
      <c r="G34" s="45">
        <v>1E+30</v>
      </c>
      <c r="H34" s="45">
        <v>1E+30</v>
      </c>
    </row>
    <row r="35" spans="2:8">
      <c r="B35" s="45" t="s">
        <v>323</v>
      </c>
      <c r="C35" s="45" t="s">
        <v>290</v>
      </c>
      <c r="D35" s="45">
        <v>0.64</v>
      </c>
      <c r="E35" s="45">
        <v>0</v>
      </c>
      <c r="F35" s="45">
        <v>159420</v>
      </c>
      <c r="G35" s="45">
        <v>1E+30</v>
      </c>
      <c r="H35" s="45">
        <v>1E+30</v>
      </c>
    </row>
    <row r="36" spans="2:8">
      <c r="B36" s="45" t="s">
        <v>324</v>
      </c>
      <c r="C36" s="45" t="s">
        <v>292</v>
      </c>
      <c r="D36" s="45">
        <v>1.03</v>
      </c>
      <c r="E36" s="45">
        <v>0</v>
      </c>
      <c r="F36" s="45">
        <v>159420</v>
      </c>
      <c r="G36" s="45">
        <v>1E+30</v>
      </c>
      <c r="H36" s="45">
        <v>1E+30</v>
      </c>
    </row>
    <row r="37" spans="2:8">
      <c r="B37" s="45" t="s">
        <v>325</v>
      </c>
      <c r="C37" s="45" t="s">
        <v>294</v>
      </c>
      <c r="D37" s="45">
        <v>1.99</v>
      </c>
      <c r="E37" s="45">
        <v>0</v>
      </c>
      <c r="F37" s="45">
        <v>159420</v>
      </c>
      <c r="G37" s="45">
        <v>1E+30</v>
      </c>
      <c r="H37" s="45">
        <v>1E+30</v>
      </c>
    </row>
    <row r="38" spans="2:8">
      <c r="B38" s="45" t="s">
        <v>326</v>
      </c>
      <c r="C38" s="45" t="s">
        <v>296</v>
      </c>
      <c r="D38" s="45">
        <v>2.0499999999999998</v>
      </c>
      <c r="E38" s="45">
        <v>0</v>
      </c>
      <c r="F38" s="45">
        <v>159420</v>
      </c>
      <c r="G38" s="45">
        <v>1E+30</v>
      </c>
      <c r="H38" s="45">
        <v>1E+30</v>
      </c>
    </row>
    <row r="39" spans="2:8">
      <c r="B39" s="45" t="s">
        <v>327</v>
      </c>
      <c r="C39" s="45" t="s">
        <v>298</v>
      </c>
      <c r="D39" s="45">
        <v>1.93</v>
      </c>
      <c r="E39" s="45">
        <v>0</v>
      </c>
      <c r="F39" s="45">
        <v>159420</v>
      </c>
      <c r="G39" s="45">
        <v>1E+30</v>
      </c>
      <c r="H39" s="45">
        <v>1E+30</v>
      </c>
    </row>
    <row r="40" spans="2:8">
      <c r="B40" s="45" t="s">
        <v>328</v>
      </c>
      <c r="C40" s="45" t="s">
        <v>300</v>
      </c>
      <c r="D40" s="45">
        <v>1.99</v>
      </c>
      <c r="E40" s="45">
        <v>0</v>
      </c>
      <c r="F40" s="45">
        <v>159420</v>
      </c>
      <c r="G40" s="45">
        <v>1E+30</v>
      </c>
      <c r="H40" s="45">
        <v>1E+30</v>
      </c>
    </row>
    <row r="41" spans="2:8">
      <c r="B41" s="45" t="s">
        <v>329</v>
      </c>
      <c r="C41" s="45" t="s">
        <v>302</v>
      </c>
      <c r="D41" s="45">
        <v>1.41</v>
      </c>
      <c r="E41" s="45">
        <v>0</v>
      </c>
      <c r="F41" s="45">
        <v>159420</v>
      </c>
      <c r="G41" s="45">
        <v>1E+30</v>
      </c>
      <c r="H41" s="45">
        <v>1E+30</v>
      </c>
    </row>
    <row r="42" spans="2:8">
      <c r="B42" s="45" t="s">
        <v>330</v>
      </c>
      <c r="C42" s="45" t="s">
        <v>304</v>
      </c>
      <c r="D42" s="45">
        <v>0.69</v>
      </c>
      <c r="E42" s="45">
        <v>0</v>
      </c>
      <c r="F42" s="45">
        <v>159420</v>
      </c>
      <c r="G42" s="45">
        <v>1E+30</v>
      </c>
      <c r="H42" s="45">
        <v>1E+30</v>
      </c>
    </row>
    <row r="43" spans="2:8">
      <c r="B43" s="45" t="s">
        <v>331</v>
      </c>
      <c r="C43" s="45" t="s">
        <v>306</v>
      </c>
      <c r="D43" s="45">
        <v>0.67</v>
      </c>
      <c r="E43" s="45">
        <v>0</v>
      </c>
      <c r="F43" s="45">
        <v>159420</v>
      </c>
      <c r="G43" s="45">
        <v>1E+30</v>
      </c>
      <c r="H43" s="45">
        <v>1E+30</v>
      </c>
    </row>
    <row r="44" spans="2:8">
      <c r="B44" s="45" t="s">
        <v>332</v>
      </c>
      <c r="C44" s="45" t="s">
        <v>308</v>
      </c>
      <c r="D44" s="45">
        <v>0.62</v>
      </c>
      <c r="E44" s="45">
        <v>0</v>
      </c>
      <c r="F44" s="45">
        <v>159420</v>
      </c>
      <c r="G44" s="45">
        <v>1E+30</v>
      </c>
      <c r="H44" s="45">
        <v>1E+30</v>
      </c>
    </row>
    <row r="45" spans="2:8">
      <c r="B45" s="45" t="s">
        <v>333</v>
      </c>
      <c r="C45" s="45" t="s">
        <v>285</v>
      </c>
      <c r="D45" s="45">
        <v>372.32476683937824</v>
      </c>
      <c r="E45" s="45">
        <v>0</v>
      </c>
      <c r="F45" s="45">
        <v>71900</v>
      </c>
      <c r="G45" s="45">
        <v>1375599.9999999995</v>
      </c>
      <c r="H45" s="45">
        <v>1E+30</v>
      </c>
    </row>
    <row r="46" spans="2:8">
      <c r="B46" s="45" t="s">
        <v>334</v>
      </c>
      <c r="C46" s="45" t="s">
        <v>288</v>
      </c>
      <c r="D46" s="45">
        <v>331.91025906735757</v>
      </c>
      <c r="E46" s="45">
        <v>0</v>
      </c>
      <c r="F46" s="45">
        <v>70730</v>
      </c>
      <c r="G46" s="45">
        <v>1376769.9999999995</v>
      </c>
      <c r="H46" s="45">
        <v>1E+30</v>
      </c>
    </row>
    <row r="47" spans="2:8">
      <c r="B47" s="45" t="s">
        <v>335</v>
      </c>
      <c r="C47" s="45" t="s">
        <v>290</v>
      </c>
      <c r="D47" s="45">
        <v>298.20487046632127</v>
      </c>
      <c r="E47" s="45">
        <v>0</v>
      </c>
      <c r="F47" s="45">
        <v>70720</v>
      </c>
      <c r="G47" s="45">
        <v>1376780.0000000023</v>
      </c>
      <c r="H47" s="45">
        <v>1E+30</v>
      </c>
    </row>
    <row r="48" spans="2:8">
      <c r="B48" s="45" t="s">
        <v>336</v>
      </c>
      <c r="C48" s="45" t="s">
        <v>292</v>
      </c>
      <c r="D48" s="45">
        <v>212.40435233160625</v>
      </c>
      <c r="E48" s="45">
        <v>0</v>
      </c>
      <c r="F48" s="45">
        <v>70470</v>
      </c>
      <c r="G48" s="45">
        <v>1377030.000000004</v>
      </c>
      <c r="H48" s="45">
        <v>1E+30</v>
      </c>
    </row>
    <row r="49" spans="2:8">
      <c r="B49" s="45" t="s">
        <v>337</v>
      </c>
      <c r="C49" s="45" t="s">
        <v>294</v>
      </c>
      <c r="D49" s="45">
        <v>217.95689119170984</v>
      </c>
      <c r="E49" s="45">
        <v>0</v>
      </c>
      <c r="F49" s="45">
        <v>85650</v>
      </c>
      <c r="G49" s="45">
        <v>1361850.0000000023</v>
      </c>
      <c r="H49" s="45">
        <v>1E+30</v>
      </c>
    </row>
    <row r="50" spans="2:8">
      <c r="B50" s="45" t="s">
        <v>338</v>
      </c>
      <c r="C50" s="45" t="s">
        <v>296</v>
      </c>
      <c r="D50" s="45">
        <v>232.26347150259073</v>
      </c>
      <c r="E50" s="45">
        <v>0</v>
      </c>
      <c r="F50" s="45">
        <v>97070</v>
      </c>
      <c r="G50" s="45">
        <v>1350430.0000000005</v>
      </c>
      <c r="H50" s="45">
        <v>1E+30</v>
      </c>
    </row>
    <row r="51" spans="2:8">
      <c r="B51" s="45" t="s">
        <v>339</v>
      </c>
      <c r="C51" s="45" t="s">
        <v>298</v>
      </c>
      <c r="D51" s="45">
        <v>247.54124352331613</v>
      </c>
      <c r="E51" s="45">
        <v>0</v>
      </c>
      <c r="F51" s="45">
        <v>93790</v>
      </c>
      <c r="G51" s="45">
        <v>1353710.0000000005</v>
      </c>
      <c r="H51" s="45">
        <v>1E+30</v>
      </c>
    </row>
    <row r="52" spans="2:8">
      <c r="B52" s="45" t="s">
        <v>340</v>
      </c>
      <c r="C52" s="45" t="s">
        <v>300</v>
      </c>
      <c r="D52" s="45">
        <v>217.33569948186528</v>
      </c>
      <c r="E52" s="45">
        <v>0</v>
      </c>
      <c r="F52" s="45">
        <v>82330</v>
      </c>
      <c r="G52" s="45">
        <v>1365169.9999999986</v>
      </c>
      <c r="H52" s="45">
        <v>1E+30</v>
      </c>
    </row>
    <row r="53" spans="2:8">
      <c r="B53" s="45" t="s">
        <v>341</v>
      </c>
      <c r="C53" s="45" t="s">
        <v>302</v>
      </c>
      <c r="D53" s="45">
        <v>206.18673575129537</v>
      </c>
      <c r="E53" s="45">
        <v>0</v>
      </c>
      <c r="F53" s="45">
        <v>76310</v>
      </c>
      <c r="G53" s="45">
        <v>1371190.0000000005</v>
      </c>
      <c r="H53" s="45">
        <v>1E+30</v>
      </c>
    </row>
    <row r="54" spans="2:8">
      <c r="B54" s="45" t="s">
        <v>342</v>
      </c>
      <c r="C54" s="45" t="s">
        <v>304</v>
      </c>
      <c r="D54" s="45">
        <v>234.92481865284978</v>
      </c>
      <c r="E54" s="45">
        <v>0</v>
      </c>
      <c r="F54" s="45">
        <v>65670</v>
      </c>
      <c r="G54" s="45">
        <v>1381830.0000000005</v>
      </c>
      <c r="H54" s="45">
        <v>1E+30</v>
      </c>
    </row>
    <row r="55" spans="2:8">
      <c r="B55" s="45" t="s">
        <v>343</v>
      </c>
      <c r="C55" s="45" t="s">
        <v>306</v>
      </c>
      <c r="D55" s="45">
        <v>257.55901554404153</v>
      </c>
      <c r="E55" s="45">
        <v>0</v>
      </c>
      <c r="F55" s="45">
        <v>61670</v>
      </c>
      <c r="G55" s="45">
        <v>1385830.0000000005</v>
      </c>
      <c r="H55" s="45">
        <v>1E+30</v>
      </c>
    </row>
    <row r="56" spans="2:8">
      <c r="B56" s="45" t="s">
        <v>344</v>
      </c>
      <c r="C56" s="45" t="s">
        <v>308</v>
      </c>
      <c r="D56" s="45">
        <v>344.57310880829027</v>
      </c>
      <c r="E56" s="45">
        <v>0</v>
      </c>
      <c r="F56" s="45">
        <v>56630</v>
      </c>
      <c r="G56" s="45">
        <v>1390870.0000000005</v>
      </c>
      <c r="H56" s="45">
        <v>1E+30</v>
      </c>
    </row>
    <row r="57" spans="2:8">
      <c r="B57" s="45" t="s">
        <v>345</v>
      </c>
      <c r="C57" s="45" t="s">
        <v>285</v>
      </c>
      <c r="D57" s="45">
        <v>43.73152202184523</v>
      </c>
      <c r="E57" s="45">
        <v>0</v>
      </c>
      <c r="F57" s="45">
        <v>1388.890000000596</v>
      </c>
      <c r="G57" s="45">
        <v>1E+30</v>
      </c>
      <c r="H57" s="45">
        <v>1388.890000000596</v>
      </c>
    </row>
    <row r="58" spans="2:8">
      <c r="B58" s="45" t="s">
        <v>346</v>
      </c>
      <c r="C58" s="45" t="s">
        <v>288</v>
      </c>
      <c r="D58" s="45">
        <v>45.017143524919135</v>
      </c>
      <c r="E58" s="45">
        <v>0</v>
      </c>
      <c r="F58" s="45">
        <v>1388.8899999996647</v>
      </c>
      <c r="G58" s="45">
        <v>1E+30</v>
      </c>
      <c r="H58" s="45">
        <v>1388.8899999996647</v>
      </c>
    </row>
    <row r="59" spans="2:8">
      <c r="B59" s="45" t="s">
        <v>347</v>
      </c>
      <c r="C59" s="45" t="s">
        <v>290</v>
      </c>
      <c r="D59" s="45">
        <v>50.55435326597533</v>
      </c>
      <c r="E59" s="45">
        <v>0</v>
      </c>
      <c r="F59" s="45">
        <v>1388.8899999996647</v>
      </c>
      <c r="G59" s="45">
        <v>1E+30</v>
      </c>
      <c r="H59" s="45">
        <v>1388.8899999996647</v>
      </c>
    </row>
    <row r="60" spans="2:8">
      <c r="B60" s="45" t="s">
        <v>348</v>
      </c>
      <c r="C60" s="45" t="s">
        <v>292</v>
      </c>
      <c r="D60" s="45">
        <v>43.050760614089043</v>
      </c>
      <c r="E60" s="45">
        <v>0</v>
      </c>
      <c r="F60" s="45">
        <v>1388.890000000596</v>
      </c>
      <c r="G60" s="45">
        <v>1E+30</v>
      </c>
      <c r="H60" s="45">
        <v>1388.890000000596</v>
      </c>
    </row>
    <row r="61" spans="2:8">
      <c r="B61" s="45" t="s">
        <v>349</v>
      </c>
      <c r="C61" s="45" t="s">
        <v>294</v>
      </c>
      <c r="D61" s="45">
        <v>42.619605020505354</v>
      </c>
      <c r="E61" s="45">
        <v>0</v>
      </c>
      <c r="F61" s="45">
        <v>1388.8899999996647</v>
      </c>
      <c r="G61" s="45">
        <v>1E+30</v>
      </c>
      <c r="H61" s="45">
        <v>1388.8899999996647</v>
      </c>
    </row>
    <row r="62" spans="2:8">
      <c r="B62" s="45" t="s">
        <v>350</v>
      </c>
      <c r="C62" s="45" t="s">
        <v>296</v>
      </c>
      <c r="D62" s="45">
        <v>43.296487967552999</v>
      </c>
      <c r="E62" s="45">
        <v>0</v>
      </c>
      <c r="F62" s="45">
        <v>1388.8899999996647</v>
      </c>
      <c r="G62" s="45">
        <v>1E+30</v>
      </c>
      <c r="H62" s="45">
        <v>1388.8899999996647</v>
      </c>
    </row>
    <row r="63" spans="2:8">
      <c r="B63" s="45" t="s">
        <v>351</v>
      </c>
      <c r="C63" s="45" t="s">
        <v>298</v>
      </c>
      <c r="D63" s="45">
        <v>42.432940341478229</v>
      </c>
      <c r="E63" s="45">
        <v>0</v>
      </c>
      <c r="F63" s="45">
        <v>1388.890000000596</v>
      </c>
      <c r="G63" s="45">
        <v>1E+30</v>
      </c>
      <c r="H63" s="45">
        <v>1388.890000000596</v>
      </c>
    </row>
    <row r="64" spans="2:8">
      <c r="B64" s="45" t="s">
        <v>352</v>
      </c>
      <c r="C64" s="45" t="s">
        <v>300</v>
      </c>
      <c r="D64" s="45">
        <v>42.218665219869536</v>
      </c>
      <c r="E64" s="45">
        <v>0</v>
      </c>
      <c r="F64" s="45">
        <v>1388.890000000596</v>
      </c>
      <c r="G64" s="45">
        <v>1E+30</v>
      </c>
      <c r="H64" s="45">
        <v>1388.890000000596</v>
      </c>
    </row>
    <row r="65" spans="2:8">
      <c r="B65" s="45" t="s">
        <v>353</v>
      </c>
      <c r="C65" s="45" t="s">
        <v>302</v>
      </c>
      <c r="D65" s="45">
        <v>42.191476392982509</v>
      </c>
      <c r="E65" s="45">
        <v>0</v>
      </c>
      <c r="F65" s="45">
        <v>1388.8899999996647</v>
      </c>
      <c r="G65" s="45">
        <v>1E+30</v>
      </c>
      <c r="H65" s="45">
        <v>1388.8899999996647</v>
      </c>
    </row>
    <row r="66" spans="2:8">
      <c r="B66" s="45" t="s">
        <v>354</v>
      </c>
      <c r="C66" s="45" t="s">
        <v>304</v>
      </c>
      <c r="D66" s="45">
        <v>42.758040682126243</v>
      </c>
      <c r="E66" s="45">
        <v>0</v>
      </c>
      <c r="F66" s="45">
        <v>1388.8899999996647</v>
      </c>
      <c r="G66" s="45">
        <v>1E+30</v>
      </c>
      <c r="H66" s="45">
        <v>1388.8899999996647</v>
      </c>
    </row>
    <row r="67" spans="2:8">
      <c r="B67" s="45" t="s">
        <v>355</v>
      </c>
      <c r="C67" s="45" t="s">
        <v>306</v>
      </c>
      <c r="D67" s="45">
        <v>44.175761079367398</v>
      </c>
      <c r="E67" s="45">
        <v>0</v>
      </c>
      <c r="F67" s="45">
        <v>1388.8899999996647</v>
      </c>
      <c r="G67" s="45">
        <v>1E+30</v>
      </c>
      <c r="H67" s="45">
        <v>1388.8899999996647</v>
      </c>
    </row>
    <row r="68" spans="2:8">
      <c r="B68" s="45" t="s">
        <v>356</v>
      </c>
      <c r="C68" s="45" t="s">
        <v>308</v>
      </c>
      <c r="D68" s="45">
        <v>45.111472099393971</v>
      </c>
      <c r="E68" s="45">
        <v>0</v>
      </c>
      <c r="F68" s="45">
        <v>1388.8899999996647</v>
      </c>
      <c r="G68" s="45">
        <v>1E+30</v>
      </c>
      <c r="H68" s="45">
        <v>1388.8899999996647</v>
      </c>
    </row>
    <row r="69" spans="2:8">
      <c r="B69" s="45" t="s">
        <v>357</v>
      </c>
      <c r="C69" s="45" t="s">
        <v>285</v>
      </c>
      <c r="D69" s="45">
        <v>0</v>
      </c>
      <c r="E69" s="45">
        <v>1425492.2279792738</v>
      </c>
      <c r="F69" s="45">
        <v>1499999.9999999991</v>
      </c>
      <c r="G69" s="45">
        <v>1E+30</v>
      </c>
      <c r="H69" s="45">
        <v>1425492.2279792738</v>
      </c>
    </row>
    <row r="70" spans="2:8">
      <c r="B70" s="45" t="s">
        <v>358</v>
      </c>
      <c r="C70" s="45" t="s">
        <v>288</v>
      </c>
      <c r="D70" s="45">
        <v>0</v>
      </c>
      <c r="E70" s="45">
        <v>1426704.6632124344</v>
      </c>
      <c r="F70" s="45">
        <v>1499999.9999999991</v>
      </c>
      <c r="G70" s="45">
        <v>1E+30</v>
      </c>
      <c r="H70" s="45">
        <v>1426704.6632124344</v>
      </c>
    </row>
    <row r="71" spans="2:8">
      <c r="B71" s="45" t="s">
        <v>359</v>
      </c>
      <c r="C71" s="45" t="s">
        <v>290</v>
      </c>
      <c r="D71" s="45">
        <v>0</v>
      </c>
      <c r="E71" s="45">
        <v>1426715.0259067377</v>
      </c>
      <c r="F71" s="45">
        <v>1500000.0000000019</v>
      </c>
      <c r="G71" s="45">
        <v>1E+30</v>
      </c>
      <c r="H71" s="45">
        <v>1426715.0259067377</v>
      </c>
    </row>
    <row r="72" spans="2:8">
      <c r="B72" s="45" t="s">
        <v>360</v>
      </c>
      <c r="C72" s="45" t="s">
        <v>292</v>
      </c>
      <c r="D72" s="45">
        <v>0</v>
      </c>
      <c r="E72" s="45">
        <v>1426974.0932642524</v>
      </c>
      <c r="F72" s="45">
        <v>1500000.0000000037</v>
      </c>
      <c r="G72" s="45">
        <v>1E+30</v>
      </c>
      <c r="H72" s="45">
        <v>1426974.0932642524</v>
      </c>
    </row>
    <row r="73" spans="2:8">
      <c r="B73" s="45" t="s">
        <v>361</v>
      </c>
      <c r="C73" s="45" t="s">
        <v>294</v>
      </c>
      <c r="D73" s="45">
        <v>0</v>
      </c>
      <c r="E73" s="45">
        <v>1411243.5233160642</v>
      </c>
      <c r="F73" s="45">
        <v>1500000.0000000019</v>
      </c>
      <c r="G73" s="45">
        <v>1E+30</v>
      </c>
      <c r="H73" s="45">
        <v>1411243.5233160642</v>
      </c>
    </row>
    <row r="74" spans="2:8">
      <c r="B74" s="45" t="s">
        <v>362</v>
      </c>
      <c r="C74" s="45" t="s">
        <v>296</v>
      </c>
      <c r="D74" s="45">
        <v>0</v>
      </c>
      <c r="E74" s="45">
        <v>1399409.3264248704</v>
      </c>
      <c r="F74" s="45">
        <v>1500000</v>
      </c>
      <c r="G74" s="45">
        <v>1E+30</v>
      </c>
      <c r="H74" s="45">
        <v>1399409.3264248704</v>
      </c>
    </row>
    <row r="75" spans="2:8">
      <c r="B75" s="45" t="s">
        <v>363</v>
      </c>
      <c r="C75" s="45" t="s">
        <v>298</v>
      </c>
      <c r="D75" s="45">
        <v>0</v>
      </c>
      <c r="E75" s="45">
        <v>1402808.2901554406</v>
      </c>
      <c r="F75" s="45">
        <v>1500000</v>
      </c>
      <c r="G75" s="45">
        <v>1E+30</v>
      </c>
      <c r="H75" s="45">
        <v>1402808.2901554406</v>
      </c>
    </row>
    <row r="76" spans="2:8">
      <c r="B76" s="45" t="s">
        <v>364</v>
      </c>
      <c r="C76" s="45" t="s">
        <v>300</v>
      </c>
      <c r="D76" s="45">
        <v>0</v>
      </c>
      <c r="E76" s="45">
        <v>1414683.9378238323</v>
      </c>
      <c r="F76" s="45">
        <v>1499999.9999999981</v>
      </c>
      <c r="G76" s="45">
        <v>1E+30</v>
      </c>
      <c r="H76" s="45">
        <v>1414683.9378238323</v>
      </c>
    </row>
    <row r="77" spans="2:8">
      <c r="B77" s="45" t="s">
        <v>365</v>
      </c>
      <c r="C77" s="45" t="s">
        <v>302</v>
      </c>
      <c r="D77" s="45">
        <v>0</v>
      </c>
      <c r="E77" s="45">
        <v>1420922.2797927461</v>
      </c>
      <c r="F77" s="45">
        <v>1500000</v>
      </c>
      <c r="G77" s="45">
        <v>1E+30</v>
      </c>
      <c r="H77" s="45">
        <v>1420922.2797927461</v>
      </c>
    </row>
    <row r="78" spans="2:8">
      <c r="B78" s="45" t="s">
        <v>366</v>
      </c>
      <c r="C78" s="45" t="s">
        <v>304</v>
      </c>
      <c r="D78" s="45">
        <v>0</v>
      </c>
      <c r="E78" s="45">
        <v>1431948.1865284974</v>
      </c>
      <c r="F78" s="45">
        <v>1500000</v>
      </c>
      <c r="G78" s="45">
        <v>1E+30</v>
      </c>
      <c r="H78" s="45">
        <v>1431948.1865284974</v>
      </c>
    </row>
    <row r="79" spans="2:8">
      <c r="B79" s="45" t="s">
        <v>367</v>
      </c>
      <c r="C79" s="45" t="s">
        <v>306</v>
      </c>
      <c r="D79" s="45">
        <v>0</v>
      </c>
      <c r="E79" s="45">
        <v>1436093.2642487048</v>
      </c>
      <c r="F79" s="45">
        <v>1500000</v>
      </c>
      <c r="G79" s="45">
        <v>1E+30</v>
      </c>
      <c r="H79" s="45">
        <v>1436093.2642487048</v>
      </c>
    </row>
    <row r="80" spans="2:8" ht="15" thickBot="1">
      <c r="B80" s="43" t="s">
        <v>368</v>
      </c>
      <c r="C80" s="43" t="s">
        <v>308</v>
      </c>
      <c r="D80" s="43">
        <v>0</v>
      </c>
      <c r="E80" s="43">
        <v>1441316.0621761659</v>
      </c>
      <c r="F80" s="43">
        <v>1500000</v>
      </c>
      <c r="G80" s="43">
        <v>1E+30</v>
      </c>
      <c r="H80" s="43">
        <v>1441316.0621761659</v>
      </c>
    </row>
    <row r="82" spans="1:8" ht="15" thickBot="1">
      <c r="A82" t="s">
        <v>369</v>
      </c>
    </row>
    <row r="83" spans="1:8">
      <c r="B83" s="46"/>
      <c r="C83" s="46"/>
      <c r="D83" s="46" t="s">
        <v>522</v>
      </c>
      <c r="E83" s="46" t="s">
        <v>530</v>
      </c>
      <c r="F83" s="46" t="s">
        <v>531</v>
      </c>
      <c r="G83" s="46" t="s">
        <v>525</v>
      </c>
      <c r="H83" s="46" t="s">
        <v>525</v>
      </c>
    </row>
    <row r="84" spans="1:8" ht="15" thickBot="1">
      <c r="B84" s="47" t="s">
        <v>276</v>
      </c>
      <c r="C84" s="47" t="s">
        <v>277</v>
      </c>
      <c r="D84" s="47" t="s">
        <v>27</v>
      </c>
      <c r="E84" s="47" t="s">
        <v>532</v>
      </c>
      <c r="F84" s="47" t="s">
        <v>533</v>
      </c>
      <c r="G84" s="47" t="s">
        <v>528</v>
      </c>
      <c r="H84" s="47" t="s">
        <v>529</v>
      </c>
    </row>
    <row r="85" spans="1:8">
      <c r="B85" s="45" t="s">
        <v>374</v>
      </c>
      <c r="C85" s="45" t="s">
        <v>285</v>
      </c>
      <c r="D85" s="45">
        <v>374</v>
      </c>
      <c r="E85" s="45">
        <v>74507.772020725533</v>
      </c>
      <c r="F85" s="45">
        <v>374</v>
      </c>
      <c r="G85" s="45">
        <v>401.04939999999993</v>
      </c>
      <c r="H85" s="45">
        <v>359.29339999999996</v>
      </c>
    </row>
    <row r="86" spans="1:8">
      <c r="B86" s="45" t="s">
        <v>377</v>
      </c>
      <c r="C86" s="45" t="s">
        <v>288</v>
      </c>
      <c r="D86" s="45">
        <v>335.00000000000006</v>
      </c>
      <c r="E86" s="45">
        <v>73295.336787564913</v>
      </c>
      <c r="F86" s="45">
        <v>335</v>
      </c>
      <c r="G86" s="45">
        <v>440.04939999999982</v>
      </c>
      <c r="H86" s="45">
        <v>320.29340000000002</v>
      </c>
    </row>
    <row r="87" spans="1:8">
      <c r="B87" s="45" t="s">
        <v>379</v>
      </c>
      <c r="C87" s="45" t="s">
        <v>290</v>
      </c>
      <c r="D87" s="45">
        <v>315.00000000000006</v>
      </c>
      <c r="E87" s="45">
        <v>73284.974093264202</v>
      </c>
      <c r="F87" s="45">
        <v>315</v>
      </c>
      <c r="G87" s="45">
        <v>460.04939999999988</v>
      </c>
      <c r="H87" s="45">
        <v>287.76769999999999</v>
      </c>
    </row>
    <row r="88" spans="1:8">
      <c r="B88" s="45" t="s">
        <v>381</v>
      </c>
      <c r="C88" s="45" t="s">
        <v>292</v>
      </c>
      <c r="D88" s="45">
        <v>224.00000000000003</v>
      </c>
      <c r="E88" s="45">
        <v>73025.906735751545</v>
      </c>
      <c r="F88" s="45">
        <v>224</v>
      </c>
      <c r="G88" s="45">
        <v>551.04939999999999</v>
      </c>
      <c r="H88" s="45">
        <v>204.97020000000001</v>
      </c>
    </row>
    <row r="89" spans="1:8">
      <c r="B89" s="45" t="s">
        <v>383</v>
      </c>
      <c r="C89" s="45" t="s">
        <v>294</v>
      </c>
      <c r="D89" s="45">
        <v>226</v>
      </c>
      <c r="E89" s="45">
        <v>88756.476683937712</v>
      </c>
      <c r="F89" s="45">
        <v>226</v>
      </c>
      <c r="G89" s="45">
        <v>549.04939999999988</v>
      </c>
      <c r="H89" s="45">
        <v>210.32839999999996</v>
      </c>
    </row>
    <row r="90" spans="1:8">
      <c r="B90" s="45" t="s">
        <v>385</v>
      </c>
      <c r="C90" s="45" t="s">
        <v>296</v>
      </c>
      <c r="D90" s="45">
        <v>243.00000000000006</v>
      </c>
      <c r="E90" s="45">
        <v>100590.67357512959</v>
      </c>
      <c r="F90" s="45">
        <v>243</v>
      </c>
      <c r="G90" s="45">
        <v>532.04939999999988</v>
      </c>
      <c r="H90" s="45">
        <v>224.13425000000004</v>
      </c>
    </row>
    <row r="91" spans="1:8">
      <c r="B91" s="45" t="s">
        <v>387</v>
      </c>
      <c r="C91" s="45" t="s">
        <v>298</v>
      </c>
      <c r="D91" s="45">
        <v>257.00000000000006</v>
      </c>
      <c r="E91" s="45">
        <v>97191.709844559664</v>
      </c>
      <c r="F91" s="45">
        <v>257</v>
      </c>
      <c r="G91" s="45">
        <v>518.04939999999999</v>
      </c>
      <c r="H91" s="45">
        <v>238.87730000000002</v>
      </c>
    </row>
    <row r="92" spans="1:8">
      <c r="B92" s="45" t="s">
        <v>389</v>
      </c>
      <c r="C92" s="45" t="s">
        <v>300</v>
      </c>
      <c r="D92" s="45">
        <v>228.99999999999997</v>
      </c>
      <c r="E92" s="45">
        <v>85316.062176165869</v>
      </c>
      <c r="F92" s="45">
        <v>229</v>
      </c>
      <c r="G92" s="45">
        <v>546.04939999999999</v>
      </c>
      <c r="H92" s="45">
        <v>209.72894999999997</v>
      </c>
    </row>
    <row r="93" spans="1:8">
      <c r="B93" s="45" t="s">
        <v>391</v>
      </c>
      <c r="C93" s="45" t="s">
        <v>302</v>
      </c>
      <c r="D93" s="45">
        <v>218.00000000000003</v>
      </c>
      <c r="E93" s="45">
        <v>79077.720207253937</v>
      </c>
      <c r="F93" s="45">
        <v>218</v>
      </c>
      <c r="G93" s="45">
        <v>557.04939999999988</v>
      </c>
      <c r="H93" s="45">
        <v>198.97020000000001</v>
      </c>
    </row>
    <row r="94" spans="1:8">
      <c r="B94" s="45" t="s">
        <v>393</v>
      </c>
      <c r="C94" s="45" t="s">
        <v>304</v>
      </c>
      <c r="D94" s="45">
        <v>248.00000000000006</v>
      </c>
      <c r="E94" s="45">
        <v>68051.813471502624</v>
      </c>
      <c r="F94" s="45">
        <v>248</v>
      </c>
      <c r="G94" s="45">
        <v>527.04939999999976</v>
      </c>
      <c r="H94" s="45">
        <v>226.70245</v>
      </c>
    </row>
    <row r="95" spans="1:8">
      <c r="B95" s="45" t="s">
        <v>395</v>
      </c>
      <c r="C95" s="45" t="s">
        <v>306</v>
      </c>
      <c r="D95" s="45">
        <v>271.00000000000006</v>
      </c>
      <c r="E95" s="45">
        <v>63906.735751295462</v>
      </c>
      <c r="F95" s="45">
        <v>271</v>
      </c>
      <c r="G95" s="45">
        <v>504.04939999999988</v>
      </c>
      <c r="H95" s="45">
        <v>248.54445000000004</v>
      </c>
    </row>
    <row r="96" spans="1:8">
      <c r="B96" s="45" t="s">
        <v>397</v>
      </c>
      <c r="C96" s="45" t="s">
        <v>308</v>
      </c>
      <c r="D96" s="45">
        <v>353.00000000000011</v>
      </c>
      <c r="E96" s="45">
        <v>58683.937823834131</v>
      </c>
      <c r="F96" s="45">
        <v>353</v>
      </c>
      <c r="G96" s="45">
        <v>422.04939999999976</v>
      </c>
      <c r="H96" s="45">
        <v>332.51305000000008</v>
      </c>
    </row>
    <row r="97" spans="2:8">
      <c r="B97" s="45" t="s">
        <v>399</v>
      </c>
      <c r="C97" s="45" t="s">
        <v>285</v>
      </c>
      <c r="D97" s="45">
        <v>43.73152202184523</v>
      </c>
      <c r="E97" s="45">
        <v>1388.890000000596</v>
      </c>
      <c r="F97" s="45">
        <v>43.73152202184523</v>
      </c>
      <c r="G97" s="45">
        <v>1E+30</v>
      </c>
      <c r="H97" s="45">
        <v>43.73152202184523</v>
      </c>
    </row>
    <row r="98" spans="2:8">
      <c r="B98" s="45" t="s">
        <v>401</v>
      </c>
      <c r="C98" s="45" t="s">
        <v>288</v>
      </c>
      <c r="D98" s="45">
        <v>45.017143524919135</v>
      </c>
      <c r="E98" s="45">
        <v>1388.8899999996647</v>
      </c>
      <c r="F98" s="45">
        <v>45.017143524919135</v>
      </c>
      <c r="G98" s="45">
        <v>1E+30</v>
      </c>
      <c r="H98" s="45">
        <v>45.017143524919135</v>
      </c>
    </row>
    <row r="99" spans="2:8">
      <c r="B99" s="45" t="s">
        <v>403</v>
      </c>
      <c r="C99" s="45" t="s">
        <v>290</v>
      </c>
      <c r="D99" s="45">
        <v>50.55435326597533</v>
      </c>
      <c r="E99" s="45">
        <v>1388.8899999996647</v>
      </c>
      <c r="F99" s="45">
        <v>50.55435326597533</v>
      </c>
      <c r="G99" s="45">
        <v>1E+30</v>
      </c>
      <c r="H99" s="45">
        <v>50.55435326597533</v>
      </c>
    </row>
    <row r="100" spans="2:8">
      <c r="B100" s="45" t="s">
        <v>405</v>
      </c>
      <c r="C100" s="45" t="s">
        <v>292</v>
      </c>
      <c r="D100" s="45">
        <v>43.050760614089043</v>
      </c>
      <c r="E100" s="45">
        <v>1388.890000000596</v>
      </c>
      <c r="F100" s="45">
        <v>43.050760614089043</v>
      </c>
      <c r="G100" s="45">
        <v>1E+30</v>
      </c>
      <c r="H100" s="45">
        <v>43.050760614089043</v>
      </c>
    </row>
    <row r="101" spans="2:8">
      <c r="B101" s="45" t="s">
        <v>407</v>
      </c>
      <c r="C101" s="45" t="s">
        <v>294</v>
      </c>
      <c r="D101" s="45">
        <v>42.619605020505354</v>
      </c>
      <c r="E101" s="45">
        <v>1388.8899999996647</v>
      </c>
      <c r="F101" s="45">
        <v>42.619605020505354</v>
      </c>
      <c r="G101" s="45">
        <v>1E+30</v>
      </c>
      <c r="H101" s="45">
        <v>42.619605020505354</v>
      </c>
    </row>
    <row r="102" spans="2:8">
      <c r="B102" s="45" t="s">
        <v>409</v>
      </c>
      <c r="C102" s="45" t="s">
        <v>296</v>
      </c>
      <c r="D102" s="45">
        <v>43.296487967552999</v>
      </c>
      <c r="E102" s="45">
        <v>1388.8899999996647</v>
      </c>
      <c r="F102" s="45">
        <v>43.296487967552999</v>
      </c>
      <c r="G102" s="45">
        <v>1E+30</v>
      </c>
      <c r="H102" s="45">
        <v>43.296487967552999</v>
      </c>
    </row>
    <row r="103" spans="2:8">
      <c r="B103" s="45" t="s">
        <v>411</v>
      </c>
      <c r="C103" s="45" t="s">
        <v>298</v>
      </c>
      <c r="D103" s="45">
        <v>42.432940341478229</v>
      </c>
      <c r="E103" s="45">
        <v>1388.890000000596</v>
      </c>
      <c r="F103" s="45">
        <v>42.432940341478229</v>
      </c>
      <c r="G103" s="45">
        <v>1E+30</v>
      </c>
      <c r="H103" s="45">
        <v>42.432940341478229</v>
      </c>
    </row>
    <row r="104" spans="2:8">
      <c r="B104" s="45" t="s">
        <v>413</v>
      </c>
      <c r="C104" s="45" t="s">
        <v>300</v>
      </c>
      <c r="D104" s="45">
        <v>42.218665219869536</v>
      </c>
      <c r="E104" s="45">
        <v>1388.890000000596</v>
      </c>
      <c r="F104" s="45">
        <v>42.218665219869536</v>
      </c>
      <c r="G104" s="45">
        <v>1E+30</v>
      </c>
      <c r="H104" s="45">
        <v>42.218665219869536</v>
      </c>
    </row>
    <row r="105" spans="2:8">
      <c r="B105" s="45" t="s">
        <v>415</v>
      </c>
      <c r="C105" s="45" t="s">
        <v>302</v>
      </c>
      <c r="D105" s="45">
        <v>42.191476392982509</v>
      </c>
      <c r="E105" s="45">
        <v>1388.8899999996647</v>
      </c>
      <c r="F105" s="45">
        <v>42.191476392982509</v>
      </c>
      <c r="G105" s="45">
        <v>1E+30</v>
      </c>
      <c r="H105" s="45">
        <v>42.191476392982509</v>
      </c>
    </row>
    <row r="106" spans="2:8">
      <c r="B106" s="45" t="s">
        <v>417</v>
      </c>
      <c r="C106" s="45" t="s">
        <v>304</v>
      </c>
      <c r="D106" s="45">
        <v>42.758040682126243</v>
      </c>
      <c r="E106" s="45">
        <v>1388.8899999996647</v>
      </c>
      <c r="F106" s="45">
        <v>42.758040682126243</v>
      </c>
      <c r="G106" s="45">
        <v>1E+30</v>
      </c>
      <c r="H106" s="45">
        <v>42.758040682126243</v>
      </c>
    </row>
    <row r="107" spans="2:8">
      <c r="B107" s="45" t="s">
        <v>419</v>
      </c>
      <c r="C107" s="45" t="s">
        <v>306</v>
      </c>
      <c r="D107" s="45">
        <v>44.175761079367398</v>
      </c>
      <c r="E107" s="45">
        <v>1388.8899999996647</v>
      </c>
      <c r="F107" s="45">
        <v>44.175761079367398</v>
      </c>
      <c r="G107" s="45">
        <v>1E+30</v>
      </c>
      <c r="H107" s="45">
        <v>44.175761079367398</v>
      </c>
    </row>
    <row r="108" spans="2:8">
      <c r="B108" s="45" t="s">
        <v>421</v>
      </c>
      <c r="C108" s="45" t="s">
        <v>308</v>
      </c>
      <c r="D108" s="45">
        <v>45.111472099393971</v>
      </c>
      <c r="E108" s="45">
        <v>1388.8899999996647</v>
      </c>
      <c r="F108" s="45">
        <v>45.111472099393971</v>
      </c>
      <c r="G108" s="45">
        <v>1E+30</v>
      </c>
      <c r="H108" s="45">
        <v>45.111472099393971</v>
      </c>
    </row>
    <row r="109" spans="2:8">
      <c r="B109" s="45" t="s">
        <v>423</v>
      </c>
      <c r="C109" s="45" t="s">
        <v>285</v>
      </c>
      <c r="D109" s="45">
        <v>14.82</v>
      </c>
      <c r="E109" s="45">
        <v>30030</v>
      </c>
      <c r="F109" s="45">
        <v>14.82</v>
      </c>
      <c r="G109" s="45">
        <v>372.32476683937819</v>
      </c>
      <c r="H109" s="45">
        <v>14.82</v>
      </c>
    </row>
    <row r="110" spans="2:8">
      <c r="B110" s="45" t="s">
        <v>425</v>
      </c>
      <c r="C110" s="45" t="s">
        <v>288</v>
      </c>
      <c r="D110" s="45">
        <v>14.84</v>
      </c>
      <c r="E110" s="45">
        <v>31200</v>
      </c>
      <c r="F110" s="45">
        <v>14.84</v>
      </c>
      <c r="G110" s="45">
        <v>331.91025906735752</v>
      </c>
      <c r="H110" s="45">
        <v>14.84</v>
      </c>
    </row>
    <row r="111" spans="2:8">
      <c r="B111" s="45" t="s">
        <v>427</v>
      </c>
      <c r="C111" s="45" t="s">
        <v>290</v>
      </c>
      <c r="D111" s="45">
        <v>27.58</v>
      </c>
      <c r="E111" s="45">
        <v>31210.000000000233</v>
      </c>
      <c r="F111" s="45">
        <v>27.58</v>
      </c>
      <c r="G111" s="45">
        <v>298.20487046632121</v>
      </c>
      <c r="H111" s="45">
        <v>27.58</v>
      </c>
    </row>
    <row r="112" spans="2:8">
      <c r="B112" s="45" t="s">
        <v>429</v>
      </c>
      <c r="C112" s="45" t="s">
        <v>292</v>
      </c>
      <c r="D112" s="45">
        <v>18.149999999999999</v>
      </c>
      <c r="E112" s="45">
        <v>31460</v>
      </c>
      <c r="F112" s="45">
        <v>18.149999999999999</v>
      </c>
      <c r="G112" s="45">
        <v>212.40435233160619</v>
      </c>
      <c r="H112" s="45">
        <v>18.149999999999999</v>
      </c>
    </row>
    <row r="113" spans="2:8">
      <c r="B113" s="45" t="s">
        <v>431</v>
      </c>
      <c r="C113" s="45" t="s">
        <v>294</v>
      </c>
      <c r="D113" s="45">
        <v>8.33</v>
      </c>
      <c r="E113" s="45">
        <v>16280.000000000233</v>
      </c>
      <c r="F113" s="45">
        <v>8.33</v>
      </c>
      <c r="G113" s="45">
        <v>217.95689119170979</v>
      </c>
      <c r="H113" s="45">
        <v>8.33</v>
      </c>
    </row>
    <row r="114" spans="2:8">
      <c r="B114" s="45" t="s">
        <v>433</v>
      </c>
      <c r="C114" s="45" t="s">
        <v>296</v>
      </c>
      <c r="D114" s="45">
        <v>6.01</v>
      </c>
      <c r="E114" s="45">
        <v>4860</v>
      </c>
      <c r="F114" s="45">
        <v>6.01</v>
      </c>
      <c r="G114" s="45">
        <v>232.26347150259068</v>
      </c>
      <c r="H114" s="45">
        <v>6.01</v>
      </c>
    </row>
    <row r="115" spans="2:8">
      <c r="B115" s="45" t="s">
        <v>435</v>
      </c>
      <c r="C115" s="45" t="s">
        <v>298</v>
      </c>
      <c r="D115" s="45">
        <v>6.18</v>
      </c>
      <c r="E115" s="45">
        <v>8140</v>
      </c>
      <c r="F115" s="45">
        <v>6.18</v>
      </c>
      <c r="G115" s="45">
        <v>247.54124352331607</v>
      </c>
      <c r="H115" s="45">
        <v>6.18</v>
      </c>
    </row>
    <row r="116" spans="2:8">
      <c r="B116" s="45" t="s">
        <v>437</v>
      </c>
      <c r="C116" s="45" t="s">
        <v>300</v>
      </c>
      <c r="D116" s="45">
        <v>7.81</v>
      </c>
      <c r="E116" s="45">
        <v>19600</v>
      </c>
      <c r="F116" s="45">
        <v>7.81</v>
      </c>
      <c r="G116" s="45">
        <v>217.33569948186522</v>
      </c>
      <c r="H116" s="45">
        <v>7.81</v>
      </c>
    </row>
    <row r="117" spans="2:8">
      <c r="B117" s="45" t="s">
        <v>439</v>
      </c>
      <c r="C117" s="45" t="s">
        <v>302</v>
      </c>
      <c r="D117" s="45">
        <v>10.24</v>
      </c>
      <c r="E117" s="45">
        <v>25620</v>
      </c>
      <c r="F117" s="45">
        <v>10.24</v>
      </c>
      <c r="G117" s="45">
        <v>206.18673575129532</v>
      </c>
      <c r="H117" s="45">
        <v>10.24</v>
      </c>
    </row>
    <row r="118" spans="2:8">
      <c r="B118" s="45" t="s">
        <v>441</v>
      </c>
      <c r="C118" s="45" t="s">
        <v>304</v>
      </c>
      <c r="D118" s="45">
        <v>13.91</v>
      </c>
      <c r="E118" s="45">
        <v>36260</v>
      </c>
      <c r="F118" s="45">
        <v>13.91</v>
      </c>
      <c r="G118" s="45">
        <v>234.92481865284972</v>
      </c>
      <c r="H118" s="45">
        <v>13.91</v>
      </c>
    </row>
    <row r="119" spans="2:8">
      <c r="B119" s="45" t="s">
        <v>443</v>
      </c>
      <c r="C119" s="45" t="s">
        <v>306</v>
      </c>
      <c r="D119" s="45">
        <v>17.78</v>
      </c>
      <c r="E119" s="45">
        <v>40260</v>
      </c>
      <c r="F119" s="45">
        <v>17.78</v>
      </c>
      <c r="G119" s="45">
        <v>257.55901554404147</v>
      </c>
      <c r="H119" s="45">
        <v>17.78</v>
      </c>
    </row>
    <row r="120" spans="2:8">
      <c r="B120" s="45" t="s">
        <v>445</v>
      </c>
      <c r="C120" s="45" t="s">
        <v>308</v>
      </c>
      <c r="D120" s="45">
        <v>19.7</v>
      </c>
      <c r="E120" s="45">
        <v>45300</v>
      </c>
      <c r="F120" s="45">
        <v>19.7</v>
      </c>
      <c r="G120" s="45">
        <v>344.57310880829021</v>
      </c>
      <c r="H120" s="45">
        <v>19.7</v>
      </c>
    </row>
    <row r="121" spans="2:8">
      <c r="B121" s="45" t="s">
        <v>447</v>
      </c>
      <c r="C121" s="45" t="s">
        <v>285</v>
      </c>
      <c r="D121" s="45">
        <v>0</v>
      </c>
      <c r="E121" s="45">
        <v>52470</v>
      </c>
      <c r="F121" s="45">
        <v>0</v>
      </c>
      <c r="G121" s="45">
        <v>372.32476683937819</v>
      </c>
      <c r="H121" s="45">
        <v>0</v>
      </c>
    </row>
    <row r="122" spans="2:8">
      <c r="B122" s="45" t="s">
        <v>449</v>
      </c>
      <c r="C122" s="45" t="s">
        <v>288</v>
      </c>
      <c r="D122" s="45">
        <v>0</v>
      </c>
      <c r="E122" s="45">
        <v>53640</v>
      </c>
      <c r="F122" s="45">
        <v>0</v>
      </c>
      <c r="G122" s="45">
        <v>331.91025906735752</v>
      </c>
      <c r="H122" s="45">
        <v>0</v>
      </c>
    </row>
    <row r="123" spans="2:8">
      <c r="B123" s="45" t="s">
        <v>451</v>
      </c>
      <c r="C123" s="45" t="s">
        <v>290</v>
      </c>
      <c r="D123" s="45">
        <v>0</v>
      </c>
      <c r="E123" s="45">
        <v>53650.000000000233</v>
      </c>
      <c r="F123" s="45">
        <v>0</v>
      </c>
      <c r="G123" s="45">
        <v>298.20487046632121</v>
      </c>
      <c r="H123" s="45">
        <v>0</v>
      </c>
    </row>
    <row r="124" spans="2:8">
      <c r="B124" s="45" t="s">
        <v>453</v>
      </c>
      <c r="C124" s="45" t="s">
        <v>292</v>
      </c>
      <c r="D124" s="45">
        <v>0.54</v>
      </c>
      <c r="E124" s="45">
        <v>53900</v>
      </c>
      <c r="F124" s="45">
        <v>0.54</v>
      </c>
      <c r="G124" s="45">
        <v>212.40435233160619</v>
      </c>
      <c r="H124" s="45">
        <v>0.54</v>
      </c>
    </row>
    <row r="125" spans="2:8">
      <c r="B125" s="45" t="s">
        <v>455</v>
      </c>
      <c r="C125" s="45" t="s">
        <v>294</v>
      </c>
      <c r="D125" s="45">
        <v>5.92</v>
      </c>
      <c r="E125" s="45">
        <v>38720.000000000233</v>
      </c>
      <c r="F125" s="45">
        <v>5.92</v>
      </c>
      <c r="G125" s="45">
        <v>217.95689119170979</v>
      </c>
      <c r="H125" s="45">
        <v>5.92</v>
      </c>
    </row>
    <row r="126" spans="2:8">
      <c r="B126" s="45" t="s">
        <v>457</v>
      </c>
      <c r="C126" s="45" t="s">
        <v>296</v>
      </c>
      <c r="D126" s="45">
        <v>11.49</v>
      </c>
      <c r="E126" s="45">
        <v>27300</v>
      </c>
      <c r="F126" s="45">
        <v>11.49</v>
      </c>
      <c r="G126" s="45">
        <v>232.26347150259068</v>
      </c>
      <c r="H126" s="45">
        <v>11.49</v>
      </c>
    </row>
    <row r="127" spans="2:8">
      <c r="B127" s="45" t="s">
        <v>459</v>
      </c>
      <c r="C127" s="45" t="s">
        <v>298</v>
      </c>
      <c r="D127" s="45">
        <v>10.67</v>
      </c>
      <c r="E127" s="45">
        <v>30580</v>
      </c>
      <c r="F127" s="45">
        <v>10.67</v>
      </c>
      <c r="G127" s="45">
        <v>247.54124352331607</v>
      </c>
      <c r="H127" s="45">
        <v>10.67</v>
      </c>
    </row>
    <row r="128" spans="2:8">
      <c r="B128" s="45" t="s">
        <v>461</v>
      </c>
      <c r="C128" s="45" t="s">
        <v>300</v>
      </c>
      <c r="D128" s="45">
        <v>10.17</v>
      </c>
      <c r="E128" s="45">
        <v>42040</v>
      </c>
      <c r="F128" s="45">
        <v>10.17</v>
      </c>
      <c r="G128" s="45">
        <v>217.33569948186522</v>
      </c>
      <c r="H128" s="45">
        <v>10.17</v>
      </c>
    </row>
    <row r="129" spans="2:8">
      <c r="B129" s="45" t="s">
        <v>463</v>
      </c>
      <c r="C129" s="45" t="s">
        <v>302</v>
      </c>
      <c r="D129" s="45">
        <v>8.07</v>
      </c>
      <c r="E129" s="45">
        <v>48060</v>
      </c>
      <c r="F129" s="45">
        <v>8.07</v>
      </c>
      <c r="G129" s="45">
        <v>206.18673575129532</v>
      </c>
      <c r="H129" s="45">
        <v>8.07</v>
      </c>
    </row>
    <row r="130" spans="2:8">
      <c r="B130" s="45" t="s">
        <v>465</v>
      </c>
      <c r="C130" s="45" t="s">
        <v>304</v>
      </c>
      <c r="D130" s="45">
        <v>7.47</v>
      </c>
      <c r="E130" s="45">
        <v>58700</v>
      </c>
      <c r="F130" s="45">
        <v>7.47</v>
      </c>
      <c r="G130" s="45">
        <v>234.92481865284972</v>
      </c>
      <c r="H130" s="45">
        <v>7.47</v>
      </c>
    </row>
    <row r="131" spans="2:8">
      <c r="B131" s="45" t="s">
        <v>467</v>
      </c>
      <c r="C131" s="45" t="s">
        <v>306</v>
      </c>
      <c r="D131" s="45">
        <v>4.82</v>
      </c>
      <c r="E131" s="45">
        <v>62700</v>
      </c>
      <c r="F131" s="45">
        <v>4.82</v>
      </c>
      <c r="G131" s="45">
        <v>257.55901554404147</v>
      </c>
      <c r="H131" s="45">
        <v>4.82</v>
      </c>
    </row>
    <row r="132" spans="2:8">
      <c r="B132" s="45" t="s">
        <v>469</v>
      </c>
      <c r="C132" s="45" t="s">
        <v>308</v>
      </c>
      <c r="D132" s="45">
        <v>0.91</v>
      </c>
      <c r="E132" s="45">
        <v>67740</v>
      </c>
      <c r="F132" s="45">
        <v>0.91</v>
      </c>
      <c r="G132" s="45">
        <v>344.57310880829021</v>
      </c>
      <c r="H132" s="45">
        <v>0.91</v>
      </c>
    </row>
    <row r="133" spans="2:8">
      <c r="B133" s="45" t="s">
        <v>471</v>
      </c>
      <c r="C133" s="45" t="s">
        <v>285</v>
      </c>
      <c r="D133" s="45">
        <v>0.42</v>
      </c>
      <c r="E133" s="45">
        <v>87519.999999999767</v>
      </c>
      <c r="F133" s="45">
        <v>0.42</v>
      </c>
      <c r="G133" s="45">
        <v>372.32476683937819</v>
      </c>
      <c r="H133" s="45">
        <v>0.42</v>
      </c>
    </row>
    <row r="134" spans="2:8">
      <c r="B134" s="45" t="s">
        <v>473</v>
      </c>
      <c r="C134" s="45" t="s">
        <v>288</v>
      </c>
      <c r="D134" s="45">
        <v>0.4</v>
      </c>
      <c r="E134" s="45">
        <v>88689.999999999767</v>
      </c>
      <c r="F134" s="45">
        <v>0.4</v>
      </c>
      <c r="G134" s="45">
        <v>331.91025906735752</v>
      </c>
      <c r="H134" s="45">
        <v>0.4</v>
      </c>
    </row>
    <row r="135" spans="2:8">
      <c r="B135" s="45" t="s">
        <v>475</v>
      </c>
      <c r="C135" s="45" t="s">
        <v>290</v>
      </c>
      <c r="D135" s="45">
        <v>0.64</v>
      </c>
      <c r="E135" s="45">
        <v>88700</v>
      </c>
      <c r="F135" s="45">
        <v>0.64</v>
      </c>
      <c r="G135" s="45">
        <v>298.20487046632121</v>
      </c>
      <c r="H135" s="45">
        <v>0.64</v>
      </c>
    </row>
    <row r="136" spans="2:8">
      <c r="B136" s="45" t="s">
        <v>477</v>
      </c>
      <c r="C136" s="45" t="s">
        <v>292</v>
      </c>
      <c r="D136" s="45">
        <v>1.03</v>
      </c>
      <c r="E136" s="45">
        <v>88949.999999999767</v>
      </c>
      <c r="F136" s="45">
        <v>1.03</v>
      </c>
      <c r="G136" s="45">
        <v>212.40435233160619</v>
      </c>
      <c r="H136" s="45">
        <v>1.03</v>
      </c>
    </row>
    <row r="137" spans="2:8">
      <c r="B137" s="45" t="s">
        <v>479</v>
      </c>
      <c r="C137" s="45" t="s">
        <v>294</v>
      </c>
      <c r="D137" s="45">
        <v>1.99</v>
      </c>
      <c r="E137" s="45">
        <v>73770</v>
      </c>
      <c r="F137" s="45">
        <v>1.99</v>
      </c>
      <c r="G137" s="45">
        <v>217.95689119170979</v>
      </c>
      <c r="H137" s="45">
        <v>1.99</v>
      </c>
    </row>
    <row r="138" spans="2:8">
      <c r="B138" s="45" t="s">
        <v>481</v>
      </c>
      <c r="C138" s="45" t="s">
        <v>296</v>
      </c>
      <c r="D138" s="45">
        <v>2.0499999999999998</v>
      </c>
      <c r="E138" s="45">
        <v>62350</v>
      </c>
      <c r="F138" s="45">
        <v>2.0499999999999998</v>
      </c>
      <c r="G138" s="45">
        <v>232.26347150259068</v>
      </c>
      <c r="H138" s="45">
        <v>2.0499999999999998</v>
      </c>
    </row>
    <row r="139" spans="2:8">
      <c r="B139" s="45" t="s">
        <v>483</v>
      </c>
      <c r="C139" s="45" t="s">
        <v>298</v>
      </c>
      <c r="D139" s="45">
        <v>1.93</v>
      </c>
      <c r="E139" s="45">
        <v>65630</v>
      </c>
      <c r="F139" s="45">
        <v>1.93</v>
      </c>
      <c r="G139" s="45">
        <v>247.54124352331607</v>
      </c>
      <c r="H139" s="45">
        <v>1.93</v>
      </c>
    </row>
    <row r="140" spans="2:8">
      <c r="B140" s="45" t="s">
        <v>485</v>
      </c>
      <c r="C140" s="45" t="s">
        <v>300</v>
      </c>
      <c r="D140" s="45">
        <v>1.99</v>
      </c>
      <c r="E140" s="45">
        <v>77089.999999999767</v>
      </c>
      <c r="F140" s="45">
        <v>1.99</v>
      </c>
      <c r="G140" s="45">
        <v>217.33569948186522</v>
      </c>
      <c r="H140" s="45">
        <v>1.99</v>
      </c>
    </row>
    <row r="141" spans="2:8">
      <c r="B141" s="45" t="s">
        <v>487</v>
      </c>
      <c r="C141" s="45" t="s">
        <v>302</v>
      </c>
      <c r="D141" s="45">
        <v>1.41</v>
      </c>
      <c r="E141" s="45">
        <v>83110</v>
      </c>
      <c r="F141" s="45">
        <v>1.41</v>
      </c>
      <c r="G141" s="45">
        <v>206.18673575129532</v>
      </c>
      <c r="H141" s="45">
        <v>1.41</v>
      </c>
    </row>
    <row r="142" spans="2:8">
      <c r="B142" s="45" t="s">
        <v>489</v>
      </c>
      <c r="C142" s="45" t="s">
        <v>304</v>
      </c>
      <c r="D142" s="45">
        <v>0.69</v>
      </c>
      <c r="E142" s="45">
        <v>93750</v>
      </c>
      <c r="F142" s="45">
        <v>0.69</v>
      </c>
      <c r="G142" s="45">
        <v>234.92481865284972</v>
      </c>
      <c r="H142" s="45">
        <v>0.69</v>
      </c>
    </row>
    <row r="143" spans="2:8">
      <c r="B143" s="45" t="s">
        <v>491</v>
      </c>
      <c r="C143" s="45" t="s">
        <v>306</v>
      </c>
      <c r="D143" s="45">
        <v>0.67</v>
      </c>
      <c r="E143" s="45">
        <v>97750</v>
      </c>
      <c r="F143" s="45">
        <v>0.67</v>
      </c>
      <c r="G143" s="45">
        <v>257.55901554404147</v>
      </c>
      <c r="H143" s="45">
        <v>0.67</v>
      </c>
    </row>
    <row r="144" spans="2:8">
      <c r="B144" s="45" t="s">
        <v>493</v>
      </c>
      <c r="C144" s="45" t="s">
        <v>308</v>
      </c>
      <c r="D144" s="45">
        <v>0.62</v>
      </c>
      <c r="E144" s="45">
        <v>102790</v>
      </c>
      <c r="F144" s="45">
        <v>0.62</v>
      </c>
      <c r="G144" s="45">
        <v>344.57310880829021</v>
      </c>
      <c r="H144" s="45">
        <v>0.62</v>
      </c>
    </row>
    <row r="145" spans="2:8">
      <c r="B145" s="45" t="s">
        <v>495</v>
      </c>
      <c r="C145" s="45" t="s">
        <v>285</v>
      </c>
      <c r="D145" s="45">
        <v>387.56476683937825</v>
      </c>
      <c r="E145" s="45">
        <v>0</v>
      </c>
      <c r="F145" s="45">
        <v>803.16</v>
      </c>
      <c r="G145" s="45">
        <v>1E+30</v>
      </c>
      <c r="H145" s="45">
        <v>415.59523316062172</v>
      </c>
    </row>
    <row r="146" spans="2:8">
      <c r="B146" s="45" t="s">
        <v>498</v>
      </c>
      <c r="C146" s="45" t="s">
        <v>288</v>
      </c>
      <c r="D146" s="45">
        <v>347.15025906735758</v>
      </c>
      <c r="E146" s="45">
        <v>0</v>
      </c>
      <c r="F146" s="45">
        <v>803.16</v>
      </c>
      <c r="G146" s="45">
        <v>1E+30</v>
      </c>
      <c r="H146" s="45">
        <v>456.00974093264239</v>
      </c>
    </row>
    <row r="147" spans="2:8">
      <c r="B147" s="45" t="s">
        <v>500</v>
      </c>
      <c r="C147" s="45" t="s">
        <v>290</v>
      </c>
      <c r="D147" s="45">
        <v>326.42487046632129</v>
      </c>
      <c r="E147" s="45">
        <v>0</v>
      </c>
      <c r="F147" s="45">
        <v>803.16</v>
      </c>
      <c r="G147" s="45">
        <v>1E+30</v>
      </c>
      <c r="H147" s="45">
        <v>476.73512953367867</v>
      </c>
    </row>
    <row r="148" spans="2:8">
      <c r="B148" s="45" t="s">
        <v>502</v>
      </c>
      <c r="C148" s="45" t="s">
        <v>292</v>
      </c>
      <c r="D148" s="45">
        <v>232.12435233160625</v>
      </c>
      <c r="E148" s="45">
        <v>0</v>
      </c>
      <c r="F148" s="45">
        <v>803.16</v>
      </c>
      <c r="G148" s="45">
        <v>1E+30</v>
      </c>
      <c r="H148" s="45">
        <v>571.03564766839384</v>
      </c>
    </row>
    <row r="149" spans="2:8">
      <c r="B149" s="45" t="s">
        <v>504</v>
      </c>
      <c r="C149" s="45" t="s">
        <v>294</v>
      </c>
      <c r="D149" s="45">
        <v>234.19689119170985</v>
      </c>
      <c r="E149" s="45">
        <v>0</v>
      </c>
      <c r="F149" s="45">
        <v>803.16</v>
      </c>
      <c r="G149" s="45">
        <v>1E+30</v>
      </c>
      <c r="H149" s="45">
        <v>568.96310880829014</v>
      </c>
    </row>
    <row r="150" spans="2:8">
      <c r="B150" s="45" t="s">
        <v>506</v>
      </c>
      <c r="C150" s="45" t="s">
        <v>296</v>
      </c>
      <c r="D150" s="45">
        <v>251.81347150259074</v>
      </c>
      <c r="E150" s="45">
        <v>0</v>
      </c>
      <c r="F150" s="45">
        <v>803.16</v>
      </c>
      <c r="G150" s="45">
        <v>1E+30</v>
      </c>
      <c r="H150" s="45">
        <v>551.34652849740928</v>
      </c>
    </row>
    <row r="151" spans="2:8">
      <c r="B151" s="45" t="s">
        <v>508</v>
      </c>
      <c r="C151" s="45" t="s">
        <v>298</v>
      </c>
      <c r="D151" s="45">
        <v>266.32124352331613</v>
      </c>
      <c r="E151" s="45">
        <v>0</v>
      </c>
      <c r="F151" s="45">
        <v>803.16</v>
      </c>
      <c r="G151" s="45">
        <v>1E+30</v>
      </c>
      <c r="H151" s="45">
        <v>536.83875647668401</v>
      </c>
    </row>
    <row r="152" spans="2:8">
      <c r="B152" s="45" t="s">
        <v>510</v>
      </c>
      <c r="C152" s="45" t="s">
        <v>300</v>
      </c>
      <c r="D152" s="45">
        <v>237.30569948186528</v>
      </c>
      <c r="E152" s="45">
        <v>0</v>
      </c>
      <c r="F152" s="45">
        <v>803.16</v>
      </c>
      <c r="G152" s="45">
        <v>1E+30</v>
      </c>
      <c r="H152" s="45">
        <v>565.85430051813478</v>
      </c>
    </row>
    <row r="153" spans="2:8">
      <c r="B153" s="45" t="s">
        <v>512</v>
      </c>
      <c r="C153" s="45" t="s">
        <v>302</v>
      </c>
      <c r="D153" s="45">
        <v>225.90673575129537</v>
      </c>
      <c r="E153" s="45">
        <v>0</v>
      </c>
      <c r="F153" s="45">
        <v>803.16</v>
      </c>
      <c r="G153" s="45">
        <v>1E+30</v>
      </c>
      <c r="H153" s="45">
        <v>577.25326424870457</v>
      </c>
    </row>
    <row r="154" spans="2:8">
      <c r="B154" s="45" t="s">
        <v>514</v>
      </c>
      <c r="C154" s="45" t="s">
        <v>304</v>
      </c>
      <c r="D154" s="45">
        <v>256.9948186528498</v>
      </c>
      <c r="E154" s="45">
        <v>0</v>
      </c>
      <c r="F154" s="45">
        <v>803.16</v>
      </c>
      <c r="G154" s="45">
        <v>1E+30</v>
      </c>
      <c r="H154" s="45">
        <v>546.16518134715011</v>
      </c>
    </row>
    <row r="155" spans="2:8">
      <c r="B155" s="45" t="s">
        <v>516</v>
      </c>
      <c r="C155" s="45" t="s">
        <v>306</v>
      </c>
      <c r="D155" s="45">
        <v>280.82901554404151</v>
      </c>
      <c r="E155" s="45">
        <v>0</v>
      </c>
      <c r="F155" s="45">
        <v>803.16</v>
      </c>
      <c r="G155" s="45">
        <v>1E+30</v>
      </c>
      <c r="H155" s="45">
        <v>522.33098445595851</v>
      </c>
    </row>
    <row r="156" spans="2:8" ht="15" thickBot="1">
      <c r="B156" s="43" t="s">
        <v>518</v>
      </c>
      <c r="C156" s="43" t="s">
        <v>308</v>
      </c>
      <c r="D156" s="43">
        <v>365.80310880829029</v>
      </c>
      <c r="E156" s="43">
        <v>0</v>
      </c>
      <c r="F156" s="43">
        <v>803.16</v>
      </c>
      <c r="G156" s="43">
        <v>1E+30</v>
      </c>
      <c r="H156" s="43">
        <v>437.35689119170968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3594-2CC9-4604-BE3D-9C0D9068BC3D}">
  <dimension ref="A1:G168"/>
  <sheetViews>
    <sheetView showGridLines="0" workbookViewId="0"/>
  </sheetViews>
  <sheetFormatPr defaultColWidth="11.42578125" defaultRowHeight="14.45"/>
  <cols>
    <col min="1" max="1" width="2.28515625" customWidth="1"/>
    <col min="2" max="2" width="6.42578125" bestFit="1" customWidth="1"/>
    <col min="3" max="3" width="14.5703125" bestFit="1" customWidth="1"/>
    <col min="4" max="4" width="14.7109375" bestFit="1" customWidth="1"/>
    <col min="5" max="5" width="13.85546875" bestFit="1" customWidth="1"/>
    <col min="6" max="6" width="11.85546875" bestFit="1" customWidth="1"/>
    <col min="7" max="7" width="12" bestFit="1" customWidth="1"/>
  </cols>
  <sheetData>
    <row r="1" spans="1:5">
      <c r="A1" s="4" t="s">
        <v>264</v>
      </c>
    </row>
    <row r="2" spans="1:5">
      <c r="A2" s="4" t="s">
        <v>589</v>
      </c>
    </row>
    <row r="3" spans="1:5">
      <c r="A3" s="4" t="s">
        <v>591</v>
      </c>
    </row>
    <row r="4" spans="1:5">
      <c r="A4" s="4" t="s">
        <v>267</v>
      </c>
    </row>
    <row r="5" spans="1:5">
      <c r="A5" s="4" t="s">
        <v>268</v>
      </c>
    </row>
    <row r="6" spans="1:5">
      <c r="A6" s="4"/>
      <c r="B6" t="s">
        <v>269</v>
      </c>
    </row>
    <row r="7" spans="1:5">
      <c r="A7" s="4"/>
      <c r="B7" t="s">
        <v>592</v>
      </c>
    </row>
    <row r="8" spans="1:5">
      <c r="A8" s="4"/>
      <c r="B8" t="s">
        <v>271</v>
      </c>
    </row>
    <row r="9" spans="1:5">
      <c r="A9" s="4" t="s">
        <v>272</v>
      </c>
    </row>
    <row r="10" spans="1:5">
      <c r="B10" t="s">
        <v>273</v>
      </c>
    </row>
    <row r="11" spans="1:5">
      <c r="B11" t="s">
        <v>274</v>
      </c>
    </row>
    <row r="14" spans="1:5" ht="15" thickBot="1">
      <c r="A14" t="s">
        <v>275</v>
      </c>
    </row>
    <row r="15" spans="1:5" ht="15" thickBot="1">
      <c r="B15" s="44" t="s">
        <v>276</v>
      </c>
      <c r="C15" s="44" t="s">
        <v>277</v>
      </c>
      <c r="D15" s="44" t="s">
        <v>278</v>
      </c>
      <c r="E15" s="44" t="s">
        <v>279</v>
      </c>
    </row>
    <row r="16" spans="1:5" ht="15" thickBot="1">
      <c r="B16" s="43" t="s">
        <v>280</v>
      </c>
      <c r="C16" s="43" t="s">
        <v>281</v>
      </c>
      <c r="D16" s="43">
        <v>262448098.36362723</v>
      </c>
      <c r="E16" s="43">
        <v>262448098.36362723</v>
      </c>
    </row>
    <row r="19" spans="1:6" ht="15" thickBot="1">
      <c r="A19" t="s">
        <v>282</v>
      </c>
    </row>
    <row r="20" spans="1:6" ht="15" thickBot="1">
      <c r="B20" s="44" t="s">
        <v>276</v>
      </c>
      <c r="C20" s="44" t="s">
        <v>277</v>
      </c>
      <c r="D20" s="44" t="s">
        <v>278</v>
      </c>
      <c r="E20" s="44" t="s">
        <v>279</v>
      </c>
      <c r="F20" s="44" t="s">
        <v>283</v>
      </c>
    </row>
    <row r="21" spans="1:6">
      <c r="B21" s="45" t="s">
        <v>284</v>
      </c>
      <c r="C21" s="45" t="s">
        <v>285</v>
      </c>
      <c r="D21" s="45">
        <v>14.82</v>
      </c>
      <c r="E21" s="45">
        <v>14.82</v>
      </c>
      <c r="F21" s="45" t="s">
        <v>286</v>
      </c>
    </row>
    <row r="22" spans="1:6">
      <c r="B22" s="45" t="s">
        <v>287</v>
      </c>
      <c r="C22" s="45" t="s">
        <v>288</v>
      </c>
      <c r="D22" s="45">
        <v>14.84</v>
      </c>
      <c r="E22" s="45">
        <v>14.84</v>
      </c>
      <c r="F22" s="45" t="s">
        <v>286</v>
      </c>
    </row>
    <row r="23" spans="1:6">
      <c r="B23" s="45" t="s">
        <v>289</v>
      </c>
      <c r="C23" s="45" t="s">
        <v>290</v>
      </c>
      <c r="D23" s="45">
        <v>27.58</v>
      </c>
      <c r="E23" s="45">
        <v>27.58</v>
      </c>
      <c r="F23" s="45" t="s">
        <v>286</v>
      </c>
    </row>
    <row r="24" spans="1:6">
      <c r="B24" s="45" t="s">
        <v>291</v>
      </c>
      <c r="C24" s="45" t="s">
        <v>292</v>
      </c>
      <c r="D24" s="45">
        <v>18.149999999999999</v>
      </c>
      <c r="E24" s="45">
        <v>18.149999999999999</v>
      </c>
      <c r="F24" s="45" t="s">
        <v>286</v>
      </c>
    </row>
    <row r="25" spans="1:6">
      <c r="B25" s="45" t="s">
        <v>293</v>
      </c>
      <c r="C25" s="45" t="s">
        <v>294</v>
      </c>
      <c r="D25" s="45">
        <v>8.33</v>
      </c>
      <c r="E25" s="45">
        <v>8.33</v>
      </c>
      <c r="F25" s="45" t="s">
        <v>286</v>
      </c>
    </row>
    <row r="26" spans="1:6">
      <c r="B26" s="45" t="s">
        <v>295</v>
      </c>
      <c r="C26" s="45" t="s">
        <v>296</v>
      </c>
      <c r="D26" s="45">
        <v>6.01</v>
      </c>
      <c r="E26" s="45">
        <v>6.01</v>
      </c>
      <c r="F26" s="45" t="s">
        <v>286</v>
      </c>
    </row>
    <row r="27" spans="1:6">
      <c r="B27" s="45" t="s">
        <v>297</v>
      </c>
      <c r="C27" s="45" t="s">
        <v>298</v>
      </c>
      <c r="D27" s="45">
        <v>6.18</v>
      </c>
      <c r="E27" s="45">
        <v>6.18</v>
      </c>
      <c r="F27" s="45" t="s">
        <v>286</v>
      </c>
    </row>
    <row r="28" spans="1:6">
      <c r="B28" s="45" t="s">
        <v>299</v>
      </c>
      <c r="C28" s="45" t="s">
        <v>300</v>
      </c>
      <c r="D28" s="45">
        <v>7.81</v>
      </c>
      <c r="E28" s="45">
        <v>7.81</v>
      </c>
      <c r="F28" s="45" t="s">
        <v>286</v>
      </c>
    </row>
    <row r="29" spans="1:6">
      <c r="B29" s="45" t="s">
        <v>301</v>
      </c>
      <c r="C29" s="45" t="s">
        <v>302</v>
      </c>
      <c r="D29" s="45">
        <v>10.24</v>
      </c>
      <c r="E29" s="45">
        <v>10.24</v>
      </c>
      <c r="F29" s="45" t="s">
        <v>286</v>
      </c>
    </row>
    <row r="30" spans="1:6">
      <c r="B30" s="45" t="s">
        <v>303</v>
      </c>
      <c r="C30" s="45" t="s">
        <v>304</v>
      </c>
      <c r="D30" s="45">
        <v>13.91</v>
      </c>
      <c r="E30" s="45">
        <v>13.91</v>
      </c>
      <c r="F30" s="45" t="s">
        <v>286</v>
      </c>
    </row>
    <row r="31" spans="1:6">
      <c r="B31" s="45" t="s">
        <v>305</v>
      </c>
      <c r="C31" s="45" t="s">
        <v>306</v>
      </c>
      <c r="D31" s="45">
        <v>17.78</v>
      </c>
      <c r="E31" s="45">
        <v>17.78</v>
      </c>
      <c r="F31" s="45" t="s">
        <v>286</v>
      </c>
    </row>
    <row r="32" spans="1:6">
      <c r="B32" s="45" t="s">
        <v>307</v>
      </c>
      <c r="C32" s="45" t="s">
        <v>308</v>
      </c>
      <c r="D32" s="45">
        <v>19.7</v>
      </c>
      <c r="E32" s="45">
        <v>19.7</v>
      </c>
      <c r="F32" s="45" t="s">
        <v>286</v>
      </c>
    </row>
    <row r="33" spans="2:6">
      <c r="B33" s="45" t="s">
        <v>309</v>
      </c>
      <c r="C33" s="45" t="s">
        <v>285</v>
      </c>
      <c r="D33" s="45">
        <v>0</v>
      </c>
      <c r="E33" s="45">
        <v>0</v>
      </c>
      <c r="F33" s="45" t="s">
        <v>286</v>
      </c>
    </row>
    <row r="34" spans="2:6">
      <c r="B34" s="45" t="s">
        <v>310</v>
      </c>
      <c r="C34" s="45" t="s">
        <v>288</v>
      </c>
      <c r="D34" s="45">
        <v>0</v>
      </c>
      <c r="E34" s="45">
        <v>0</v>
      </c>
      <c r="F34" s="45" t="s">
        <v>286</v>
      </c>
    </row>
    <row r="35" spans="2:6">
      <c r="B35" s="45" t="s">
        <v>311</v>
      </c>
      <c r="C35" s="45" t="s">
        <v>290</v>
      </c>
      <c r="D35" s="45">
        <v>0</v>
      </c>
      <c r="E35" s="45">
        <v>0</v>
      </c>
      <c r="F35" s="45" t="s">
        <v>286</v>
      </c>
    </row>
    <row r="36" spans="2:6">
      <c r="B36" s="45" t="s">
        <v>312</v>
      </c>
      <c r="C36" s="45" t="s">
        <v>292</v>
      </c>
      <c r="D36" s="45">
        <v>0.54</v>
      </c>
      <c r="E36" s="45">
        <v>0.54</v>
      </c>
      <c r="F36" s="45" t="s">
        <v>286</v>
      </c>
    </row>
    <row r="37" spans="2:6">
      <c r="B37" s="45" t="s">
        <v>313</v>
      </c>
      <c r="C37" s="45" t="s">
        <v>294</v>
      </c>
      <c r="D37" s="45">
        <v>5.92</v>
      </c>
      <c r="E37" s="45">
        <v>5.92</v>
      </c>
      <c r="F37" s="45" t="s">
        <v>286</v>
      </c>
    </row>
    <row r="38" spans="2:6">
      <c r="B38" s="45" t="s">
        <v>314</v>
      </c>
      <c r="C38" s="45" t="s">
        <v>296</v>
      </c>
      <c r="D38" s="45">
        <v>11.49</v>
      </c>
      <c r="E38" s="45">
        <v>11.49</v>
      </c>
      <c r="F38" s="45" t="s">
        <v>286</v>
      </c>
    </row>
    <row r="39" spans="2:6">
      <c r="B39" s="45" t="s">
        <v>315</v>
      </c>
      <c r="C39" s="45" t="s">
        <v>298</v>
      </c>
      <c r="D39" s="45">
        <v>10.67</v>
      </c>
      <c r="E39" s="45">
        <v>10.67</v>
      </c>
      <c r="F39" s="45" t="s">
        <v>286</v>
      </c>
    </row>
    <row r="40" spans="2:6">
      <c r="B40" s="45" t="s">
        <v>316</v>
      </c>
      <c r="C40" s="45" t="s">
        <v>300</v>
      </c>
      <c r="D40" s="45">
        <v>10.17</v>
      </c>
      <c r="E40" s="45">
        <v>10.17</v>
      </c>
      <c r="F40" s="45" t="s">
        <v>286</v>
      </c>
    </row>
    <row r="41" spans="2:6">
      <c r="B41" s="45" t="s">
        <v>317</v>
      </c>
      <c r="C41" s="45" t="s">
        <v>302</v>
      </c>
      <c r="D41" s="45">
        <v>8.07</v>
      </c>
      <c r="E41" s="45">
        <v>8.07</v>
      </c>
      <c r="F41" s="45" t="s">
        <v>286</v>
      </c>
    </row>
    <row r="42" spans="2:6">
      <c r="B42" s="45" t="s">
        <v>318</v>
      </c>
      <c r="C42" s="45" t="s">
        <v>304</v>
      </c>
      <c r="D42" s="45">
        <v>7.47</v>
      </c>
      <c r="E42" s="45">
        <v>7.47</v>
      </c>
      <c r="F42" s="45" t="s">
        <v>286</v>
      </c>
    </row>
    <row r="43" spans="2:6">
      <c r="B43" s="45" t="s">
        <v>319</v>
      </c>
      <c r="C43" s="45" t="s">
        <v>306</v>
      </c>
      <c r="D43" s="45">
        <v>4.82</v>
      </c>
      <c r="E43" s="45">
        <v>4.82</v>
      </c>
      <c r="F43" s="45" t="s">
        <v>286</v>
      </c>
    </row>
    <row r="44" spans="2:6">
      <c r="B44" s="45" t="s">
        <v>320</v>
      </c>
      <c r="C44" s="45" t="s">
        <v>308</v>
      </c>
      <c r="D44" s="45">
        <v>0.91</v>
      </c>
      <c r="E44" s="45">
        <v>0.91</v>
      </c>
      <c r="F44" s="45" t="s">
        <v>286</v>
      </c>
    </row>
    <row r="45" spans="2:6">
      <c r="B45" s="45" t="s">
        <v>321</v>
      </c>
      <c r="C45" s="45" t="s">
        <v>285</v>
      </c>
      <c r="D45" s="45">
        <v>0.42</v>
      </c>
      <c r="E45" s="45">
        <v>0.42</v>
      </c>
      <c r="F45" s="45" t="s">
        <v>286</v>
      </c>
    </row>
    <row r="46" spans="2:6">
      <c r="B46" s="45" t="s">
        <v>322</v>
      </c>
      <c r="C46" s="45" t="s">
        <v>288</v>
      </c>
      <c r="D46" s="45">
        <v>0.4</v>
      </c>
      <c r="E46" s="45">
        <v>0.4</v>
      </c>
      <c r="F46" s="45" t="s">
        <v>286</v>
      </c>
    </row>
    <row r="47" spans="2:6">
      <c r="B47" s="45" t="s">
        <v>323</v>
      </c>
      <c r="C47" s="45" t="s">
        <v>290</v>
      </c>
      <c r="D47" s="45">
        <v>0.64</v>
      </c>
      <c r="E47" s="45">
        <v>0.64</v>
      </c>
      <c r="F47" s="45" t="s">
        <v>286</v>
      </c>
    </row>
    <row r="48" spans="2:6">
      <c r="B48" s="45" t="s">
        <v>324</v>
      </c>
      <c r="C48" s="45" t="s">
        <v>292</v>
      </c>
      <c r="D48" s="45">
        <v>1.03</v>
      </c>
      <c r="E48" s="45">
        <v>1.03</v>
      </c>
      <c r="F48" s="45" t="s">
        <v>286</v>
      </c>
    </row>
    <row r="49" spans="2:6">
      <c r="B49" s="45" t="s">
        <v>325</v>
      </c>
      <c r="C49" s="45" t="s">
        <v>294</v>
      </c>
      <c r="D49" s="45">
        <v>1.99</v>
      </c>
      <c r="E49" s="45">
        <v>1.99</v>
      </c>
      <c r="F49" s="45" t="s">
        <v>286</v>
      </c>
    </row>
    <row r="50" spans="2:6">
      <c r="B50" s="45" t="s">
        <v>326</v>
      </c>
      <c r="C50" s="45" t="s">
        <v>296</v>
      </c>
      <c r="D50" s="45">
        <v>2.0499999999999998</v>
      </c>
      <c r="E50" s="45">
        <v>2.0499999999999998</v>
      </c>
      <c r="F50" s="45" t="s">
        <v>286</v>
      </c>
    </row>
    <row r="51" spans="2:6">
      <c r="B51" s="45" t="s">
        <v>327</v>
      </c>
      <c r="C51" s="45" t="s">
        <v>298</v>
      </c>
      <c r="D51" s="45">
        <v>1.93</v>
      </c>
      <c r="E51" s="45">
        <v>1.93</v>
      </c>
      <c r="F51" s="45" t="s">
        <v>286</v>
      </c>
    </row>
    <row r="52" spans="2:6">
      <c r="B52" s="45" t="s">
        <v>328</v>
      </c>
      <c r="C52" s="45" t="s">
        <v>300</v>
      </c>
      <c r="D52" s="45">
        <v>1.99</v>
      </c>
      <c r="E52" s="45">
        <v>1.99</v>
      </c>
      <c r="F52" s="45" t="s">
        <v>286</v>
      </c>
    </row>
    <row r="53" spans="2:6">
      <c r="B53" s="45" t="s">
        <v>329</v>
      </c>
      <c r="C53" s="45" t="s">
        <v>302</v>
      </c>
      <c r="D53" s="45">
        <v>1.41</v>
      </c>
      <c r="E53" s="45">
        <v>1.41</v>
      </c>
      <c r="F53" s="45" t="s">
        <v>286</v>
      </c>
    </row>
    <row r="54" spans="2:6">
      <c r="B54" s="45" t="s">
        <v>330</v>
      </c>
      <c r="C54" s="45" t="s">
        <v>304</v>
      </c>
      <c r="D54" s="45">
        <v>0.69</v>
      </c>
      <c r="E54" s="45">
        <v>0.69</v>
      </c>
      <c r="F54" s="45" t="s">
        <v>286</v>
      </c>
    </row>
    <row r="55" spans="2:6">
      <c r="B55" s="45" t="s">
        <v>331</v>
      </c>
      <c r="C55" s="45" t="s">
        <v>306</v>
      </c>
      <c r="D55" s="45">
        <v>0.67</v>
      </c>
      <c r="E55" s="45">
        <v>0.67</v>
      </c>
      <c r="F55" s="45" t="s">
        <v>286</v>
      </c>
    </row>
    <row r="56" spans="2:6">
      <c r="B56" s="45" t="s">
        <v>332</v>
      </c>
      <c r="C56" s="45" t="s">
        <v>308</v>
      </c>
      <c r="D56" s="45">
        <v>0.62</v>
      </c>
      <c r="E56" s="45">
        <v>0.62</v>
      </c>
      <c r="F56" s="45" t="s">
        <v>286</v>
      </c>
    </row>
    <row r="57" spans="2:6">
      <c r="B57" s="45" t="s">
        <v>333</v>
      </c>
      <c r="C57" s="45" t="s">
        <v>285</v>
      </c>
      <c r="D57" s="45">
        <v>372.32476683937824</v>
      </c>
      <c r="E57" s="45">
        <v>372.32476683937824</v>
      </c>
      <c r="F57" s="45" t="s">
        <v>286</v>
      </c>
    </row>
    <row r="58" spans="2:6">
      <c r="B58" s="45" t="s">
        <v>334</v>
      </c>
      <c r="C58" s="45" t="s">
        <v>288</v>
      </c>
      <c r="D58" s="45">
        <v>331.91025906735757</v>
      </c>
      <c r="E58" s="45">
        <v>331.91025906735757</v>
      </c>
      <c r="F58" s="45" t="s">
        <v>286</v>
      </c>
    </row>
    <row r="59" spans="2:6">
      <c r="B59" s="45" t="s">
        <v>335</v>
      </c>
      <c r="C59" s="45" t="s">
        <v>290</v>
      </c>
      <c r="D59" s="45">
        <v>298.20487046632127</v>
      </c>
      <c r="E59" s="45">
        <v>298.20487046632127</v>
      </c>
      <c r="F59" s="45" t="s">
        <v>286</v>
      </c>
    </row>
    <row r="60" spans="2:6">
      <c r="B60" s="45" t="s">
        <v>336</v>
      </c>
      <c r="C60" s="45" t="s">
        <v>292</v>
      </c>
      <c r="D60" s="45">
        <v>212.40435233160625</v>
      </c>
      <c r="E60" s="45">
        <v>212.40435233160625</v>
      </c>
      <c r="F60" s="45" t="s">
        <v>286</v>
      </c>
    </row>
    <row r="61" spans="2:6">
      <c r="B61" s="45" t="s">
        <v>337</v>
      </c>
      <c r="C61" s="45" t="s">
        <v>294</v>
      </c>
      <c r="D61" s="45">
        <v>217.95689119170984</v>
      </c>
      <c r="E61" s="45">
        <v>217.95689119170984</v>
      </c>
      <c r="F61" s="45" t="s">
        <v>286</v>
      </c>
    </row>
    <row r="62" spans="2:6">
      <c r="B62" s="45" t="s">
        <v>338</v>
      </c>
      <c r="C62" s="45" t="s">
        <v>296</v>
      </c>
      <c r="D62" s="45">
        <v>232.26347150259073</v>
      </c>
      <c r="E62" s="45">
        <v>232.26347150259073</v>
      </c>
      <c r="F62" s="45" t="s">
        <v>286</v>
      </c>
    </row>
    <row r="63" spans="2:6">
      <c r="B63" s="45" t="s">
        <v>339</v>
      </c>
      <c r="C63" s="45" t="s">
        <v>298</v>
      </c>
      <c r="D63" s="45">
        <v>247.54124352331613</v>
      </c>
      <c r="E63" s="45">
        <v>247.54124352331613</v>
      </c>
      <c r="F63" s="45" t="s">
        <v>286</v>
      </c>
    </row>
    <row r="64" spans="2:6">
      <c r="B64" s="45" t="s">
        <v>340</v>
      </c>
      <c r="C64" s="45" t="s">
        <v>300</v>
      </c>
      <c r="D64" s="45">
        <v>217.33569948186528</v>
      </c>
      <c r="E64" s="45">
        <v>217.33569948186528</v>
      </c>
      <c r="F64" s="45" t="s">
        <v>286</v>
      </c>
    </row>
    <row r="65" spans="2:6">
      <c r="B65" s="45" t="s">
        <v>341</v>
      </c>
      <c r="C65" s="45" t="s">
        <v>302</v>
      </c>
      <c r="D65" s="45">
        <v>206.18673575129537</v>
      </c>
      <c r="E65" s="45">
        <v>206.18673575129537</v>
      </c>
      <c r="F65" s="45" t="s">
        <v>286</v>
      </c>
    </row>
    <row r="66" spans="2:6">
      <c r="B66" s="45" t="s">
        <v>342</v>
      </c>
      <c r="C66" s="45" t="s">
        <v>304</v>
      </c>
      <c r="D66" s="45">
        <v>234.92481865284978</v>
      </c>
      <c r="E66" s="45">
        <v>234.92481865284978</v>
      </c>
      <c r="F66" s="45" t="s">
        <v>286</v>
      </c>
    </row>
    <row r="67" spans="2:6">
      <c r="B67" s="45" t="s">
        <v>343</v>
      </c>
      <c r="C67" s="45" t="s">
        <v>306</v>
      </c>
      <c r="D67" s="45">
        <v>257.55901554404153</v>
      </c>
      <c r="E67" s="45">
        <v>257.55901554404153</v>
      </c>
      <c r="F67" s="45" t="s">
        <v>286</v>
      </c>
    </row>
    <row r="68" spans="2:6">
      <c r="B68" s="45" t="s">
        <v>344</v>
      </c>
      <c r="C68" s="45" t="s">
        <v>308</v>
      </c>
      <c r="D68" s="45">
        <v>344.57310880829027</v>
      </c>
      <c r="E68" s="45">
        <v>344.57310880829027</v>
      </c>
      <c r="F68" s="45" t="s">
        <v>286</v>
      </c>
    </row>
    <row r="69" spans="2:6">
      <c r="B69" s="45" t="s">
        <v>345</v>
      </c>
      <c r="C69" s="45" t="s">
        <v>285</v>
      </c>
      <c r="D69" s="45">
        <v>43.73152202184523</v>
      </c>
      <c r="E69" s="45">
        <v>43.73152202184523</v>
      </c>
      <c r="F69" s="45" t="s">
        <v>286</v>
      </c>
    </row>
    <row r="70" spans="2:6">
      <c r="B70" s="45" t="s">
        <v>346</v>
      </c>
      <c r="C70" s="45" t="s">
        <v>288</v>
      </c>
      <c r="D70" s="45">
        <v>45.017143524919135</v>
      </c>
      <c r="E70" s="45">
        <v>45.017143524919135</v>
      </c>
      <c r="F70" s="45" t="s">
        <v>286</v>
      </c>
    </row>
    <row r="71" spans="2:6">
      <c r="B71" s="45" t="s">
        <v>347</v>
      </c>
      <c r="C71" s="45" t="s">
        <v>290</v>
      </c>
      <c r="D71" s="45">
        <v>50.55435326597533</v>
      </c>
      <c r="E71" s="45">
        <v>50.55435326597533</v>
      </c>
      <c r="F71" s="45" t="s">
        <v>286</v>
      </c>
    </row>
    <row r="72" spans="2:6">
      <c r="B72" s="45" t="s">
        <v>348</v>
      </c>
      <c r="C72" s="45" t="s">
        <v>292</v>
      </c>
      <c r="D72" s="45">
        <v>43.050760614089043</v>
      </c>
      <c r="E72" s="45">
        <v>43.050760614089043</v>
      </c>
      <c r="F72" s="45" t="s">
        <v>286</v>
      </c>
    </row>
    <row r="73" spans="2:6">
      <c r="B73" s="45" t="s">
        <v>349</v>
      </c>
      <c r="C73" s="45" t="s">
        <v>294</v>
      </c>
      <c r="D73" s="45">
        <v>42.619605020505354</v>
      </c>
      <c r="E73" s="45">
        <v>42.619605020505354</v>
      </c>
      <c r="F73" s="45" t="s">
        <v>286</v>
      </c>
    </row>
    <row r="74" spans="2:6">
      <c r="B74" s="45" t="s">
        <v>350</v>
      </c>
      <c r="C74" s="45" t="s">
        <v>296</v>
      </c>
      <c r="D74" s="45">
        <v>43.296487967552999</v>
      </c>
      <c r="E74" s="45">
        <v>43.296487967552999</v>
      </c>
      <c r="F74" s="45" t="s">
        <v>286</v>
      </c>
    </row>
    <row r="75" spans="2:6">
      <c r="B75" s="45" t="s">
        <v>351</v>
      </c>
      <c r="C75" s="45" t="s">
        <v>298</v>
      </c>
      <c r="D75" s="45">
        <v>42.432940341478229</v>
      </c>
      <c r="E75" s="45">
        <v>42.432940341478229</v>
      </c>
      <c r="F75" s="45" t="s">
        <v>286</v>
      </c>
    </row>
    <row r="76" spans="2:6">
      <c r="B76" s="45" t="s">
        <v>352</v>
      </c>
      <c r="C76" s="45" t="s">
        <v>300</v>
      </c>
      <c r="D76" s="45">
        <v>42.218665219869536</v>
      </c>
      <c r="E76" s="45">
        <v>42.218665219869536</v>
      </c>
      <c r="F76" s="45" t="s">
        <v>286</v>
      </c>
    </row>
    <row r="77" spans="2:6">
      <c r="B77" s="45" t="s">
        <v>353</v>
      </c>
      <c r="C77" s="45" t="s">
        <v>302</v>
      </c>
      <c r="D77" s="45">
        <v>42.191476392982509</v>
      </c>
      <c r="E77" s="45">
        <v>42.191476392982509</v>
      </c>
      <c r="F77" s="45" t="s">
        <v>286</v>
      </c>
    </row>
    <row r="78" spans="2:6">
      <c r="B78" s="45" t="s">
        <v>354</v>
      </c>
      <c r="C78" s="45" t="s">
        <v>304</v>
      </c>
      <c r="D78" s="45">
        <v>42.758040682126243</v>
      </c>
      <c r="E78" s="45">
        <v>42.758040682126243</v>
      </c>
      <c r="F78" s="45" t="s">
        <v>286</v>
      </c>
    </row>
    <row r="79" spans="2:6">
      <c r="B79" s="45" t="s">
        <v>355</v>
      </c>
      <c r="C79" s="45" t="s">
        <v>306</v>
      </c>
      <c r="D79" s="45">
        <v>44.175761079367398</v>
      </c>
      <c r="E79" s="45">
        <v>44.175761079367398</v>
      </c>
      <c r="F79" s="45" t="s">
        <v>286</v>
      </c>
    </row>
    <row r="80" spans="2:6">
      <c r="B80" s="45" t="s">
        <v>356</v>
      </c>
      <c r="C80" s="45" t="s">
        <v>308</v>
      </c>
      <c r="D80" s="45">
        <v>45.111472099393971</v>
      </c>
      <c r="E80" s="45">
        <v>45.111472099393971</v>
      </c>
      <c r="F80" s="45" t="s">
        <v>286</v>
      </c>
    </row>
    <row r="81" spans="1:7">
      <c r="B81" s="45" t="s">
        <v>357</v>
      </c>
      <c r="C81" s="45" t="s">
        <v>285</v>
      </c>
      <c r="D81" s="45">
        <v>0</v>
      </c>
      <c r="E81" s="45">
        <v>0</v>
      </c>
      <c r="F81" s="45" t="s">
        <v>286</v>
      </c>
    </row>
    <row r="82" spans="1:7">
      <c r="B82" s="45" t="s">
        <v>358</v>
      </c>
      <c r="C82" s="45" t="s">
        <v>288</v>
      </c>
      <c r="D82" s="45">
        <v>0</v>
      </c>
      <c r="E82" s="45">
        <v>0</v>
      </c>
      <c r="F82" s="45" t="s">
        <v>286</v>
      </c>
    </row>
    <row r="83" spans="1:7">
      <c r="B83" s="45" t="s">
        <v>359</v>
      </c>
      <c r="C83" s="45" t="s">
        <v>290</v>
      </c>
      <c r="D83" s="45">
        <v>0</v>
      </c>
      <c r="E83" s="45">
        <v>0</v>
      </c>
      <c r="F83" s="45" t="s">
        <v>286</v>
      </c>
    </row>
    <row r="84" spans="1:7">
      <c r="B84" s="45" t="s">
        <v>360</v>
      </c>
      <c r="C84" s="45" t="s">
        <v>292</v>
      </c>
      <c r="D84" s="45">
        <v>0</v>
      </c>
      <c r="E84" s="45">
        <v>0</v>
      </c>
      <c r="F84" s="45" t="s">
        <v>286</v>
      </c>
    </row>
    <row r="85" spans="1:7">
      <c r="B85" s="45" t="s">
        <v>361</v>
      </c>
      <c r="C85" s="45" t="s">
        <v>294</v>
      </c>
      <c r="D85" s="45">
        <v>0</v>
      </c>
      <c r="E85" s="45">
        <v>0</v>
      </c>
      <c r="F85" s="45" t="s">
        <v>286</v>
      </c>
    </row>
    <row r="86" spans="1:7">
      <c r="B86" s="45" t="s">
        <v>362</v>
      </c>
      <c r="C86" s="45" t="s">
        <v>296</v>
      </c>
      <c r="D86" s="45">
        <v>0</v>
      </c>
      <c r="E86" s="45">
        <v>0</v>
      </c>
      <c r="F86" s="45" t="s">
        <v>286</v>
      </c>
    </row>
    <row r="87" spans="1:7">
      <c r="B87" s="45" t="s">
        <v>363</v>
      </c>
      <c r="C87" s="45" t="s">
        <v>298</v>
      </c>
      <c r="D87" s="45">
        <v>0</v>
      </c>
      <c r="E87" s="45">
        <v>0</v>
      </c>
      <c r="F87" s="45" t="s">
        <v>286</v>
      </c>
    </row>
    <row r="88" spans="1:7">
      <c r="B88" s="45" t="s">
        <v>364</v>
      </c>
      <c r="C88" s="45" t="s">
        <v>300</v>
      </c>
      <c r="D88" s="45">
        <v>0</v>
      </c>
      <c r="E88" s="45">
        <v>0</v>
      </c>
      <c r="F88" s="45" t="s">
        <v>286</v>
      </c>
    </row>
    <row r="89" spans="1:7">
      <c r="B89" s="45" t="s">
        <v>365</v>
      </c>
      <c r="C89" s="45" t="s">
        <v>302</v>
      </c>
      <c r="D89" s="45">
        <v>0</v>
      </c>
      <c r="E89" s="45">
        <v>0</v>
      </c>
      <c r="F89" s="45" t="s">
        <v>286</v>
      </c>
    </row>
    <row r="90" spans="1:7">
      <c r="B90" s="45" t="s">
        <v>366</v>
      </c>
      <c r="C90" s="45" t="s">
        <v>304</v>
      </c>
      <c r="D90" s="45">
        <v>0</v>
      </c>
      <c r="E90" s="45">
        <v>0</v>
      </c>
      <c r="F90" s="45" t="s">
        <v>286</v>
      </c>
    </row>
    <row r="91" spans="1:7">
      <c r="B91" s="45" t="s">
        <v>367</v>
      </c>
      <c r="C91" s="45" t="s">
        <v>306</v>
      </c>
      <c r="D91" s="45">
        <v>0</v>
      </c>
      <c r="E91" s="45">
        <v>0</v>
      </c>
      <c r="F91" s="45" t="s">
        <v>286</v>
      </c>
    </row>
    <row r="92" spans="1:7" ht="15" thickBot="1">
      <c r="B92" s="43" t="s">
        <v>368</v>
      </c>
      <c r="C92" s="43" t="s">
        <v>308</v>
      </c>
      <c r="D92" s="43">
        <v>0</v>
      </c>
      <c r="E92" s="43">
        <v>0</v>
      </c>
      <c r="F92" s="43" t="s">
        <v>286</v>
      </c>
    </row>
    <row r="95" spans="1:7" ht="15" thickBot="1">
      <c r="A95" t="s">
        <v>369</v>
      </c>
    </row>
    <row r="96" spans="1:7" ht="15" thickBot="1">
      <c r="B96" s="44" t="s">
        <v>276</v>
      </c>
      <c r="C96" s="44" t="s">
        <v>277</v>
      </c>
      <c r="D96" s="44" t="s">
        <v>370</v>
      </c>
      <c r="E96" s="44" t="s">
        <v>371</v>
      </c>
      <c r="F96" s="44" t="s">
        <v>372</v>
      </c>
      <c r="G96" s="44" t="s">
        <v>373</v>
      </c>
    </row>
    <row r="97" spans="2:7">
      <c r="B97" s="45" t="s">
        <v>374</v>
      </c>
      <c r="C97" s="45" t="s">
        <v>285</v>
      </c>
      <c r="D97" s="45">
        <v>374</v>
      </c>
      <c r="E97" s="45" t="s">
        <v>375</v>
      </c>
      <c r="F97" s="45" t="s">
        <v>376</v>
      </c>
      <c r="G97" s="45">
        <v>0</v>
      </c>
    </row>
    <row r="98" spans="2:7">
      <c r="B98" s="45" t="s">
        <v>377</v>
      </c>
      <c r="C98" s="45" t="s">
        <v>288</v>
      </c>
      <c r="D98" s="45">
        <v>335.00000000000006</v>
      </c>
      <c r="E98" s="45" t="s">
        <v>378</v>
      </c>
      <c r="F98" s="45" t="s">
        <v>376</v>
      </c>
      <c r="G98" s="45">
        <v>0</v>
      </c>
    </row>
    <row r="99" spans="2:7">
      <c r="B99" s="45" t="s">
        <v>379</v>
      </c>
      <c r="C99" s="45" t="s">
        <v>290</v>
      </c>
      <c r="D99" s="45">
        <v>315.00000000000006</v>
      </c>
      <c r="E99" s="45" t="s">
        <v>380</v>
      </c>
      <c r="F99" s="45" t="s">
        <v>376</v>
      </c>
      <c r="G99" s="45">
        <v>0</v>
      </c>
    </row>
    <row r="100" spans="2:7">
      <c r="B100" s="45" t="s">
        <v>381</v>
      </c>
      <c r="C100" s="45" t="s">
        <v>292</v>
      </c>
      <c r="D100" s="45">
        <v>224.00000000000003</v>
      </c>
      <c r="E100" s="45" t="s">
        <v>382</v>
      </c>
      <c r="F100" s="45" t="s">
        <v>376</v>
      </c>
      <c r="G100" s="45">
        <v>0</v>
      </c>
    </row>
    <row r="101" spans="2:7">
      <c r="B101" s="45" t="s">
        <v>383</v>
      </c>
      <c r="C101" s="45" t="s">
        <v>294</v>
      </c>
      <c r="D101" s="45">
        <v>226</v>
      </c>
      <c r="E101" s="45" t="s">
        <v>384</v>
      </c>
      <c r="F101" s="45" t="s">
        <v>376</v>
      </c>
      <c r="G101" s="45">
        <v>0</v>
      </c>
    </row>
    <row r="102" spans="2:7">
      <c r="B102" s="45" t="s">
        <v>385</v>
      </c>
      <c r="C102" s="45" t="s">
        <v>296</v>
      </c>
      <c r="D102" s="45">
        <v>243.00000000000006</v>
      </c>
      <c r="E102" s="45" t="s">
        <v>386</v>
      </c>
      <c r="F102" s="45" t="s">
        <v>376</v>
      </c>
      <c r="G102" s="45">
        <v>0</v>
      </c>
    </row>
    <row r="103" spans="2:7">
      <c r="B103" s="45" t="s">
        <v>387</v>
      </c>
      <c r="C103" s="45" t="s">
        <v>298</v>
      </c>
      <c r="D103" s="45">
        <v>257.00000000000006</v>
      </c>
      <c r="E103" s="45" t="s">
        <v>388</v>
      </c>
      <c r="F103" s="45" t="s">
        <v>376</v>
      </c>
      <c r="G103" s="45">
        <v>0</v>
      </c>
    </row>
    <row r="104" spans="2:7">
      <c r="B104" s="45" t="s">
        <v>389</v>
      </c>
      <c r="C104" s="45" t="s">
        <v>300</v>
      </c>
      <c r="D104" s="45">
        <v>228.99999999999997</v>
      </c>
      <c r="E104" s="45" t="s">
        <v>390</v>
      </c>
      <c r="F104" s="45" t="s">
        <v>376</v>
      </c>
      <c r="G104" s="45">
        <v>0</v>
      </c>
    </row>
    <row r="105" spans="2:7">
      <c r="B105" s="45" t="s">
        <v>391</v>
      </c>
      <c r="C105" s="45" t="s">
        <v>302</v>
      </c>
      <c r="D105" s="45">
        <v>218.00000000000003</v>
      </c>
      <c r="E105" s="45" t="s">
        <v>392</v>
      </c>
      <c r="F105" s="45" t="s">
        <v>376</v>
      </c>
      <c r="G105" s="45">
        <v>0</v>
      </c>
    </row>
    <row r="106" spans="2:7">
      <c r="B106" s="45" t="s">
        <v>393</v>
      </c>
      <c r="C106" s="45" t="s">
        <v>304</v>
      </c>
      <c r="D106" s="45">
        <v>248.00000000000006</v>
      </c>
      <c r="E106" s="45" t="s">
        <v>394</v>
      </c>
      <c r="F106" s="45" t="s">
        <v>376</v>
      </c>
      <c r="G106" s="45">
        <v>0</v>
      </c>
    </row>
    <row r="107" spans="2:7">
      <c r="B107" s="45" t="s">
        <v>395</v>
      </c>
      <c r="C107" s="45" t="s">
        <v>306</v>
      </c>
      <c r="D107" s="45">
        <v>271.00000000000006</v>
      </c>
      <c r="E107" s="45" t="s">
        <v>396</v>
      </c>
      <c r="F107" s="45" t="s">
        <v>376</v>
      </c>
      <c r="G107" s="45">
        <v>0</v>
      </c>
    </row>
    <row r="108" spans="2:7">
      <c r="B108" s="45" t="s">
        <v>397</v>
      </c>
      <c r="C108" s="45" t="s">
        <v>308</v>
      </c>
      <c r="D108" s="45">
        <v>353.00000000000011</v>
      </c>
      <c r="E108" s="45" t="s">
        <v>398</v>
      </c>
      <c r="F108" s="45" t="s">
        <v>376</v>
      </c>
      <c r="G108" s="45">
        <v>0</v>
      </c>
    </row>
    <row r="109" spans="2:7">
      <c r="B109" s="45" t="s">
        <v>399</v>
      </c>
      <c r="C109" s="45" t="s">
        <v>285</v>
      </c>
      <c r="D109" s="45">
        <v>43.73152202184523</v>
      </c>
      <c r="E109" s="45" t="s">
        <v>400</v>
      </c>
      <c r="F109" s="45" t="s">
        <v>376</v>
      </c>
      <c r="G109" s="45">
        <v>0</v>
      </c>
    </row>
    <row r="110" spans="2:7">
      <c r="B110" s="45" t="s">
        <v>401</v>
      </c>
      <c r="C110" s="45" t="s">
        <v>288</v>
      </c>
      <c r="D110" s="45">
        <v>45.017143524919135</v>
      </c>
      <c r="E110" s="45" t="s">
        <v>402</v>
      </c>
      <c r="F110" s="45" t="s">
        <v>376</v>
      </c>
      <c r="G110" s="45">
        <v>0</v>
      </c>
    </row>
    <row r="111" spans="2:7">
      <c r="B111" s="45" t="s">
        <v>403</v>
      </c>
      <c r="C111" s="45" t="s">
        <v>290</v>
      </c>
      <c r="D111" s="45">
        <v>50.55435326597533</v>
      </c>
      <c r="E111" s="45" t="s">
        <v>404</v>
      </c>
      <c r="F111" s="45" t="s">
        <v>376</v>
      </c>
      <c r="G111" s="45">
        <v>0</v>
      </c>
    </row>
    <row r="112" spans="2:7">
      <c r="B112" s="45" t="s">
        <v>405</v>
      </c>
      <c r="C112" s="45" t="s">
        <v>292</v>
      </c>
      <c r="D112" s="45">
        <v>43.050760614089043</v>
      </c>
      <c r="E112" s="45" t="s">
        <v>406</v>
      </c>
      <c r="F112" s="45" t="s">
        <v>376</v>
      </c>
      <c r="G112" s="45">
        <v>0</v>
      </c>
    </row>
    <row r="113" spans="2:7">
      <c r="B113" s="45" t="s">
        <v>407</v>
      </c>
      <c r="C113" s="45" t="s">
        <v>294</v>
      </c>
      <c r="D113" s="45">
        <v>42.619605020505354</v>
      </c>
      <c r="E113" s="45" t="s">
        <v>408</v>
      </c>
      <c r="F113" s="45" t="s">
        <v>376</v>
      </c>
      <c r="G113" s="45">
        <v>0</v>
      </c>
    </row>
    <row r="114" spans="2:7">
      <c r="B114" s="45" t="s">
        <v>409</v>
      </c>
      <c r="C114" s="45" t="s">
        <v>296</v>
      </c>
      <c r="D114" s="45">
        <v>43.296487967552999</v>
      </c>
      <c r="E114" s="45" t="s">
        <v>410</v>
      </c>
      <c r="F114" s="45" t="s">
        <v>376</v>
      </c>
      <c r="G114" s="45">
        <v>0</v>
      </c>
    </row>
    <row r="115" spans="2:7">
      <c r="B115" s="45" t="s">
        <v>411</v>
      </c>
      <c r="C115" s="45" t="s">
        <v>298</v>
      </c>
      <c r="D115" s="45">
        <v>42.432940341478229</v>
      </c>
      <c r="E115" s="45" t="s">
        <v>412</v>
      </c>
      <c r="F115" s="45" t="s">
        <v>376</v>
      </c>
      <c r="G115" s="45">
        <v>0</v>
      </c>
    </row>
    <row r="116" spans="2:7">
      <c r="B116" s="45" t="s">
        <v>413</v>
      </c>
      <c r="C116" s="45" t="s">
        <v>300</v>
      </c>
      <c r="D116" s="45">
        <v>42.218665219869536</v>
      </c>
      <c r="E116" s="45" t="s">
        <v>414</v>
      </c>
      <c r="F116" s="45" t="s">
        <v>376</v>
      </c>
      <c r="G116" s="45">
        <v>0</v>
      </c>
    </row>
    <row r="117" spans="2:7">
      <c r="B117" s="45" t="s">
        <v>415</v>
      </c>
      <c r="C117" s="45" t="s">
        <v>302</v>
      </c>
      <c r="D117" s="45">
        <v>42.191476392982509</v>
      </c>
      <c r="E117" s="45" t="s">
        <v>416</v>
      </c>
      <c r="F117" s="45" t="s">
        <v>376</v>
      </c>
      <c r="G117" s="45">
        <v>0</v>
      </c>
    </row>
    <row r="118" spans="2:7">
      <c r="B118" s="45" t="s">
        <v>417</v>
      </c>
      <c r="C118" s="45" t="s">
        <v>304</v>
      </c>
      <c r="D118" s="45">
        <v>42.758040682126243</v>
      </c>
      <c r="E118" s="45" t="s">
        <v>418</v>
      </c>
      <c r="F118" s="45" t="s">
        <v>376</v>
      </c>
      <c r="G118" s="45">
        <v>0</v>
      </c>
    </row>
    <row r="119" spans="2:7">
      <c r="B119" s="45" t="s">
        <v>419</v>
      </c>
      <c r="C119" s="45" t="s">
        <v>306</v>
      </c>
      <c r="D119" s="45">
        <v>44.175761079367398</v>
      </c>
      <c r="E119" s="45" t="s">
        <v>420</v>
      </c>
      <c r="F119" s="45" t="s">
        <v>376</v>
      </c>
      <c r="G119" s="45">
        <v>0</v>
      </c>
    </row>
    <row r="120" spans="2:7">
      <c r="B120" s="45" t="s">
        <v>421</v>
      </c>
      <c r="C120" s="45" t="s">
        <v>308</v>
      </c>
      <c r="D120" s="45">
        <v>45.111472099393971</v>
      </c>
      <c r="E120" s="45" t="s">
        <v>422</v>
      </c>
      <c r="F120" s="45" t="s">
        <v>376</v>
      </c>
      <c r="G120" s="45">
        <v>0</v>
      </c>
    </row>
    <row r="121" spans="2:7">
      <c r="B121" s="45" t="s">
        <v>423</v>
      </c>
      <c r="C121" s="45" t="s">
        <v>285</v>
      </c>
      <c r="D121" s="45">
        <v>14.82</v>
      </c>
      <c r="E121" s="45" t="s">
        <v>424</v>
      </c>
      <c r="F121" s="45" t="s">
        <v>376</v>
      </c>
      <c r="G121" s="45">
        <v>0</v>
      </c>
    </row>
    <row r="122" spans="2:7">
      <c r="B122" s="45" t="s">
        <v>425</v>
      </c>
      <c r="C122" s="45" t="s">
        <v>288</v>
      </c>
      <c r="D122" s="45">
        <v>14.84</v>
      </c>
      <c r="E122" s="45" t="s">
        <v>426</v>
      </c>
      <c r="F122" s="45" t="s">
        <v>376</v>
      </c>
      <c r="G122" s="45">
        <v>0</v>
      </c>
    </row>
    <row r="123" spans="2:7">
      <c r="B123" s="45" t="s">
        <v>427</v>
      </c>
      <c r="C123" s="45" t="s">
        <v>290</v>
      </c>
      <c r="D123" s="45">
        <v>27.58</v>
      </c>
      <c r="E123" s="45" t="s">
        <v>428</v>
      </c>
      <c r="F123" s="45" t="s">
        <v>376</v>
      </c>
      <c r="G123" s="45">
        <v>0</v>
      </c>
    </row>
    <row r="124" spans="2:7">
      <c r="B124" s="45" t="s">
        <v>429</v>
      </c>
      <c r="C124" s="45" t="s">
        <v>292</v>
      </c>
      <c r="D124" s="45">
        <v>18.149999999999999</v>
      </c>
      <c r="E124" s="45" t="s">
        <v>430</v>
      </c>
      <c r="F124" s="45" t="s">
        <v>376</v>
      </c>
      <c r="G124" s="45">
        <v>0</v>
      </c>
    </row>
    <row r="125" spans="2:7">
      <c r="B125" s="45" t="s">
        <v>431</v>
      </c>
      <c r="C125" s="45" t="s">
        <v>294</v>
      </c>
      <c r="D125" s="45">
        <v>8.33</v>
      </c>
      <c r="E125" s="45" t="s">
        <v>432</v>
      </c>
      <c r="F125" s="45" t="s">
        <v>376</v>
      </c>
      <c r="G125" s="45">
        <v>0</v>
      </c>
    </row>
    <row r="126" spans="2:7">
      <c r="B126" s="45" t="s">
        <v>433</v>
      </c>
      <c r="C126" s="45" t="s">
        <v>296</v>
      </c>
      <c r="D126" s="45">
        <v>6.01</v>
      </c>
      <c r="E126" s="45" t="s">
        <v>434</v>
      </c>
      <c r="F126" s="45" t="s">
        <v>376</v>
      </c>
      <c r="G126" s="45">
        <v>0</v>
      </c>
    </row>
    <row r="127" spans="2:7">
      <c r="B127" s="45" t="s">
        <v>435</v>
      </c>
      <c r="C127" s="45" t="s">
        <v>298</v>
      </c>
      <c r="D127" s="45">
        <v>6.18</v>
      </c>
      <c r="E127" s="45" t="s">
        <v>436</v>
      </c>
      <c r="F127" s="45" t="s">
        <v>376</v>
      </c>
      <c r="G127" s="45">
        <v>0</v>
      </c>
    </row>
    <row r="128" spans="2:7">
      <c r="B128" s="45" t="s">
        <v>437</v>
      </c>
      <c r="C128" s="45" t="s">
        <v>300</v>
      </c>
      <c r="D128" s="45">
        <v>7.81</v>
      </c>
      <c r="E128" s="45" t="s">
        <v>438</v>
      </c>
      <c r="F128" s="45" t="s">
        <v>376</v>
      </c>
      <c r="G128" s="45">
        <v>0</v>
      </c>
    </row>
    <row r="129" spans="2:7">
      <c r="B129" s="45" t="s">
        <v>439</v>
      </c>
      <c r="C129" s="45" t="s">
        <v>302</v>
      </c>
      <c r="D129" s="45">
        <v>10.24</v>
      </c>
      <c r="E129" s="45" t="s">
        <v>440</v>
      </c>
      <c r="F129" s="45" t="s">
        <v>376</v>
      </c>
      <c r="G129" s="45">
        <v>0</v>
      </c>
    </row>
    <row r="130" spans="2:7">
      <c r="B130" s="45" t="s">
        <v>441</v>
      </c>
      <c r="C130" s="45" t="s">
        <v>304</v>
      </c>
      <c r="D130" s="45">
        <v>13.91</v>
      </c>
      <c r="E130" s="45" t="s">
        <v>442</v>
      </c>
      <c r="F130" s="45" t="s">
        <v>376</v>
      </c>
      <c r="G130" s="45">
        <v>0</v>
      </c>
    </row>
    <row r="131" spans="2:7">
      <c r="B131" s="45" t="s">
        <v>443</v>
      </c>
      <c r="C131" s="45" t="s">
        <v>306</v>
      </c>
      <c r="D131" s="45">
        <v>17.78</v>
      </c>
      <c r="E131" s="45" t="s">
        <v>444</v>
      </c>
      <c r="F131" s="45" t="s">
        <v>376</v>
      </c>
      <c r="G131" s="45">
        <v>0</v>
      </c>
    </row>
    <row r="132" spans="2:7">
      <c r="B132" s="45" t="s">
        <v>445</v>
      </c>
      <c r="C132" s="45" t="s">
        <v>308</v>
      </c>
      <c r="D132" s="45">
        <v>19.7</v>
      </c>
      <c r="E132" s="45" t="s">
        <v>446</v>
      </c>
      <c r="F132" s="45" t="s">
        <v>376</v>
      </c>
      <c r="G132" s="45">
        <v>0</v>
      </c>
    </row>
    <row r="133" spans="2:7">
      <c r="B133" s="45" t="s">
        <v>447</v>
      </c>
      <c r="C133" s="45" t="s">
        <v>285</v>
      </c>
      <c r="D133" s="45">
        <v>0</v>
      </c>
      <c r="E133" s="45" t="s">
        <v>448</v>
      </c>
      <c r="F133" s="45" t="s">
        <v>376</v>
      </c>
      <c r="G133" s="45">
        <v>0</v>
      </c>
    </row>
    <row r="134" spans="2:7">
      <c r="B134" s="45" t="s">
        <v>449</v>
      </c>
      <c r="C134" s="45" t="s">
        <v>288</v>
      </c>
      <c r="D134" s="45">
        <v>0</v>
      </c>
      <c r="E134" s="45" t="s">
        <v>450</v>
      </c>
      <c r="F134" s="45" t="s">
        <v>376</v>
      </c>
      <c r="G134" s="45">
        <v>0</v>
      </c>
    </row>
    <row r="135" spans="2:7">
      <c r="B135" s="45" t="s">
        <v>451</v>
      </c>
      <c r="C135" s="45" t="s">
        <v>290</v>
      </c>
      <c r="D135" s="45">
        <v>0</v>
      </c>
      <c r="E135" s="45" t="s">
        <v>452</v>
      </c>
      <c r="F135" s="45" t="s">
        <v>376</v>
      </c>
      <c r="G135" s="45">
        <v>0</v>
      </c>
    </row>
    <row r="136" spans="2:7">
      <c r="B136" s="45" t="s">
        <v>453</v>
      </c>
      <c r="C136" s="45" t="s">
        <v>292</v>
      </c>
      <c r="D136" s="45">
        <v>0.54</v>
      </c>
      <c r="E136" s="45" t="s">
        <v>454</v>
      </c>
      <c r="F136" s="45" t="s">
        <v>376</v>
      </c>
      <c r="G136" s="45">
        <v>0</v>
      </c>
    </row>
    <row r="137" spans="2:7">
      <c r="B137" s="45" t="s">
        <v>455</v>
      </c>
      <c r="C137" s="45" t="s">
        <v>294</v>
      </c>
      <c r="D137" s="45">
        <v>5.92</v>
      </c>
      <c r="E137" s="45" t="s">
        <v>456</v>
      </c>
      <c r="F137" s="45" t="s">
        <v>376</v>
      </c>
      <c r="G137" s="45">
        <v>0</v>
      </c>
    </row>
    <row r="138" spans="2:7">
      <c r="B138" s="45" t="s">
        <v>457</v>
      </c>
      <c r="C138" s="45" t="s">
        <v>296</v>
      </c>
      <c r="D138" s="45">
        <v>11.49</v>
      </c>
      <c r="E138" s="45" t="s">
        <v>458</v>
      </c>
      <c r="F138" s="45" t="s">
        <v>376</v>
      </c>
      <c r="G138" s="45">
        <v>0</v>
      </c>
    </row>
    <row r="139" spans="2:7">
      <c r="B139" s="45" t="s">
        <v>459</v>
      </c>
      <c r="C139" s="45" t="s">
        <v>298</v>
      </c>
      <c r="D139" s="45">
        <v>10.67</v>
      </c>
      <c r="E139" s="45" t="s">
        <v>460</v>
      </c>
      <c r="F139" s="45" t="s">
        <v>376</v>
      </c>
      <c r="G139" s="45">
        <v>0</v>
      </c>
    </row>
    <row r="140" spans="2:7">
      <c r="B140" s="45" t="s">
        <v>461</v>
      </c>
      <c r="C140" s="45" t="s">
        <v>300</v>
      </c>
      <c r="D140" s="45">
        <v>10.17</v>
      </c>
      <c r="E140" s="45" t="s">
        <v>462</v>
      </c>
      <c r="F140" s="45" t="s">
        <v>376</v>
      </c>
      <c r="G140" s="45">
        <v>0</v>
      </c>
    </row>
    <row r="141" spans="2:7">
      <c r="B141" s="45" t="s">
        <v>463</v>
      </c>
      <c r="C141" s="45" t="s">
        <v>302</v>
      </c>
      <c r="D141" s="45">
        <v>8.07</v>
      </c>
      <c r="E141" s="45" t="s">
        <v>464</v>
      </c>
      <c r="F141" s="45" t="s">
        <v>376</v>
      </c>
      <c r="G141" s="45">
        <v>0</v>
      </c>
    </row>
    <row r="142" spans="2:7">
      <c r="B142" s="45" t="s">
        <v>465</v>
      </c>
      <c r="C142" s="45" t="s">
        <v>304</v>
      </c>
      <c r="D142" s="45">
        <v>7.47</v>
      </c>
      <c r="E142" s="45" t="s">
        <v>466</v>
      </c>
      <c r="F142" s="45" t="s">
        <v>376</v>
      </c>
      <c r="G142" s="45">
        <v>0</v>
      </c>
    </row>
    <row r="143" spans="2:7">
      <c r="B143" s="45" t="s">
        <v>467</v>
      </c>
      <c r="C143" s="45" t="s">
        <v>306</v>
      </c>
      <c r="D143" s="45">
        <v>4.82</v>
      </c>
      <c r="E143" s="45" t="s">
        <v>468</v>
      </c>
      <c r="F143" s="45" t="s">
        <v>376</v>
      </c>
      <c r="G143" s="45">
        <v>0</v>
      </c>
    </row>
    <row r="144" spans="2:7">
      <c r="B144" s="45" t="s">
        <v>469</v>
      </c>
      <c r="C144" s="45" t="s">
        <v>308</v>
      </c>
      <c r="D144" s="45">
        <v>0.91</v>
      </c>
      <c r="E144" s="45" t="s">
        <v>470</v>
      </c>
      <c r="F144" s="45" t="s">
        <v>376</v>
      </c>
      <c r="G144" s="45">
        <v>0</v>
      </c>
    </row>
    <row r="145" spans="2:7">
      <c r="B145" s="45" t="s">
        <v>471</v>
      </c>
      <c r="C145" s="45" t="s">
        <v>285</v>
      </c>
      <c r="D145" s="45">
        <v>0.42</v>
      </c>
      <c r="E145" s="45" t="s">
        <v>472</v>
      </c>
      <c r="F145" s="45" t="s">
        <v>376</v>
      </c>
      <c r="G145" s="45">
        <v>0</v>
      </c>
    </row>
    <row r="146" spans="2:7">
      <c r="B146" s="45" t="s">
        <v>473</v>
      </c>
      <c r="C146" s="45" t="s">
        <v>288</v>
      </c>
      <c r="D146" s="45">
        <v>0.4</v>
      </c>
      <c r="E146" s="45" t="s">
        <v>474</v>
      </c>
      <c r="F146" s="45" t="s">
        <v>376</v>
      </c>
      <c r="G146" s="45">
        <v>0</v>
      </c>
    </row>
    <row r="147" spans="2:7">
      <c r="B147" s="45" t="s">
        <v>475</v>
      </c>
      <c r="C147" s="45" t="s">
        <v>290</v>
      </c>
      <c r="D147" s="45">
        <v>0.64</v>
      </c>
      <c r="E147" s="45" t="s">
        <v>476</v>
      </c>
      <c r="F147" s="45" t="s">
        <v>376</v>
      </c>
      <c r="G147" s="45">
        <v>0</v>
      </c>
    </row>
    <row r="148" spans="2:7">
      <c r="B148" s="45" t="s">
        <v>477</v>
      </c>
      <c r="C148" s="45" t="s">
        <v>292</v>
      </c>
      <c r="D148" s="45">
        <v>1.03</v>
      </c>
      <c r="E148" s="45" t="s">
        <v>478</v>
      </c>
      <c r="F148" s="45" t="s">
        <v>376</v>
      </c>
      <c r="G148" s="45">
        <v>0</v>
      </c>
    </row>
    <row r="149" spans="2:7">
      <c r="B149" s="45" t="s">
        <v>479</v>
      </c>
      <c r="C149" s="45" t="s">
        <v>294</v>
      </c>
      <c r="D149" s="45">
        <v>1.99</v>
      </c>
      <c r="E149" s="45" t="s">
        <v>480</v>
      </c>
      <c r="F149" s="45" t="s">
        <v>376</v>
      </c>
      <c r="G149" s="45">
        <v>0</v>
      </c>
    </row>
    <row r="150" spans="2:7">
      <c r="B150" s="45" t="s">
        <v>481</v>
      </c>
      <c r="C150" s="45" t="s">
        <v>296</v>
      </c>
      <c r="D150" s="45">
        <v>2.0499999999999998</v>
      </c>
      <c r="E150" s="45" t="s">
        <v>482</v>
      </c>
      <c r="F150" s="45" t="s">
        <v>376</v>
      </c>
      <c r="G150" s="45">
        <v>0</v>
      </c>
    </row>
    <row r="151" spans="2:7">
      <c r="B151" s="45" t="s">
        <v>483</v>
      </c>
      <c r="C151" s="45" t="s">
        <v>298</v>
      </c>
      <c r="D151" s="45">
        <v>1.93</v>
      </c>
      <c r="E151" s="45" t="s">
        <v>484</v>
      </c>
      <c r="F151" s="45" t="s">
        <v>376</v>
      </c>
      <c r="G151" s="45">
        <v>0</v>
      </c>
    </row>
    <row r="152" spans="2:7">
      <c r="B152" s="45" t="s">
        <v>485</v>
      </c>
      <c r="C152" s="45" t="s">
        <v>300</v>
      </c>
      <c r="D152" s="45">
        <v>1.99</v>
      </c>
      <c r="E152" s="45" t="s">
        <v>486</v>
      </c>
      <c r="F152" s="45" t="s">
        <v>376</v>
      </c>
      <c r="G152" s="45">
        <v>0</v>
      </c>
    </row>
    <row r="153" spans="2:7">
      <c r="B153" s="45" t="s">
        <v>487</v>
      </c>
      <c r="C153" s="45" t="s">
        <v>302</v>
      </c>
      <c r="D153" s="45">
        <v>1.41</v>
      </c>
      <c r="E153" s="45" t="s">
        <v>488</v>
      </c>
      <c r="F153" s="45" t="s">
        <v>376</v>
      </c>
      <c r="G153" s="45">
        <v>0</v>
      </c>
    </row>
    <row r="154" spans="2:7">
      <c r="B154" s="45" t="s">
        <v>489</v>
      </c>
      <c r="C154" s="45" t="s">
        <v>304</v>
      </c>
      <c r="D154" s="45">
        <v>0.69</v>
      </c>
      <c r="E154" s="45" t="s">
        <v>490</v>
      </c>
      <c r="F154" s="45" t="s">
        <v>376</v>
      </c>
      <c r="G154" s="45">
        <v>0</v>
      </c>
    </row>
    <row r="155" spans="2:7">
      <c r="B155" s="45" t="s">
        <v>491</v>
      </c>
      <c r="C155" s="45" t="s">
        <v>306</v>
      </c>
      <c r="D155" s="45">
        <v>0.67</v>
      </c>
      <c r="E155" s="45" t="s">
        <v>492</v>
      </c>
      <c r="F155" s="45" t="s">
        <v>376</v>
      </c>
      <c r="G155" s="45">
        <v>0</v>
      </c>
    </row>
    <row r="156" spans="2:7">
      <c r="B156" s="45" t="s">
        <v>493</v>
      </c>
      <c r="C156" s="45" t="s">
        <v>308</v>
      </c>
      <c r="D156" s="45">
        <v>0.62</v>
      </c>
      <c r="E156" s="45" t="s">
        <v>494</v>
      </c>
      <c r="F156" s="45" t="s">
        <v>376</v>
      </c>
      <c r="G156" s="45">
        <v>0</v>
      </c>
    </row>
    <row r="157" spans="2:7">
      <c r="B157" s="45" t="s">
        <v>495</v>
      </c>
      <c r="C157" s="45" t="s">
        <v>285</v>
      </c>
      <c r="D157" s="45">
        <v>387.56476683937825</v>
      </c>
      <c r="E157" s="45" t="s">
        <v>496</v>
      </c>
      <c r="F157" s="45" t="s">
        <v>497</v>
      </c>
      <c r="G157" s="45">
        <v>415.59523316062172</v>
      </c>
    </row>
    <row r="158" spans="2:7">
      <c r="B158" s="45" t="s">
        <v>498</v>
      </c>
      <c r="C158" s="45" t="s">
        <v>288</v>
      </c>
      <c r="D158" s="45">
        <v>347.15025906735758</v>
      </c>
      <c r="E158" s="45" t="s">
        <v>499</v>
      </c>
      <c r="F158" s="45" t="s">
        <v>497</v>
      </c>
      <c r="G158" s="45">
        <v>456.00974093264239</v>
      </c>
    </row>
    <row r="159" spans="2:7">
      <c r="B159" s="45" t="s">
        <v>500</v>
      </c>
      <c r="C159" s="45" t="s">
        <v>290</v>
      </c>
      <c r="D159" s="45">
        <v>326.42487046632129</v>
      </c>
      <c r="E159" s="45" t="s">
        <v>501</v>
      </c>
      <c r="F159" s="45" t="s">
        <v>497</v>
      </c>
      <c r="G159" s="45">
        <v>476.73512953367867</v>
      </c>
    </row>
    <row r="160" spans="2:7">
      <c r="B160" s="45" t="s">
        <v>502</v>
      </c>
      <c r="C160" s="45" t="s">
        <v>292</v>
      </c>
      <c r="D160" s="45">
        <v>232.12435233160625</v>
      </c>
      <c r="E160" s="45" t="s">
        <v>503</v>
      </c>
      <c r="F160" s="45" t="s">
        <v>497</v>
      </c>
      <c r="G160" s="45">
        <v>571.03564766839372</v>
      </c>
    </row>
    <row r="161" spans="2:7">
      <c r="B161" s="45" t="s">
        <v>504</v>
      </c>
      <c r="C161" s="45" t="s">
        <v>294</v>
      </c>
      <c r="D161" s="45">
        <v>234.19689119170985</v>
      </c>
      <c r="E161" s="45" t="s">
        <v>505</v>
      </c>
      <c r="F161" s="45" t="s">
        <v>497</v>
      </c>
      <c r="G161" s="45">
        <v>568.96310880829014</v>
      </c>
    </row>
    <row r="162" spans="2:7">
      <c r="B162" s="45" t="s">
        <v>506</v>
      </c>
      <c r="C162" s="45" t="s">
        <v>296</v>
      </c>
      <c r="D162" s="45">
        <v>251.81347150259074</v>
      </c>
      <c r="E162" s="45" t="s">
        <v>507</v>
      </c>
      <c r="F162" s="45" t="s">
        <v>497</v>
      </c>
      <c r="G162" s="45">
        <v>551.34652849740928</v>
      </c>
    </row>
    <row r="163" spans="2:7">
      <c r="B163" s="45" t="s">
        <v>508</v>
      </c>
      <c r="C163" s="45" t="s">
        <v>298</v>
      </c>
      <c r="D163" s="45">
        <v>266.32124352331613</v>
      </c>
      <c r="E163" s="45" t="s">
        <v>509</v>
      </c>
      <c r="F163" s="45" t="s">
        <v>497</v>
      </c>
      <c r="G163" s="45">
        <v>536.83875647668378</v>
      </c>
    </row>
    <row r="164" spans="2:7">
      <c r="B164" s="45" t="s">
        <v>510</v>
      </c>
      <c r="C164" s="45" t="s">
        <v>300</v>
      </c>
      <c r="D164" s="45">
        <v>237.30569948186528</v>
      </c>
      <c r="E164" s="45" t="s">
        <v>511</v>
      </c>
      <c r="F164" s="45" t="s">
        <v>497</v>
      </c>
      <c r="G164" s="45">
        <v>565.85430051813466</v>
      </c>
    </row>
    <row r="165" spans="2:7">
      <c r="B165" s="45" t="s">
        <v>512</v>
      </c>
      <c r="C165" s="45" t="s">
        <v>302</v>
      </c>
      <c r="D165" s="45">
        <v>225.90673575129537</v>
      </c>
      <c r="E165" s="45" t="s">
        <v>513</v>
      </c>
      <c r="F165" s="45" t="s">
        <v>497</v>
      </c>
      <c r="G165" s="45">
        <v>577.25326424870457</v>
      </c>
    </row>
    <row r="166" spans="2:7">
      <c r="B166" s="45" t="s">
        <v>514</v>
      </c>
      <c r="C166" s="45" t="s">
        <v>304</v>
      </c>
      <c r="D166" s="45">
        <v>256.9948186528498</v>
      </c>
      <c r="E166" s="45" t="s">
        <v>515</v>
      </c>
      <c r="F166" s="45" t="s">
        <v>497</v>
      </c>
      <c r="G166" s="45">
        <v>546.16518134715011</v>
      </c>
    </row>
    <row r="167" spans="2:7">
      <c r="B167" s="45" t="s">
        <v>516</v>
      </c>
      <c r="C167" s="45" t="s">
        <v>306</v>
      </c>
      <c r="D167" s="45">
        <v>280.82901554404151</v>
      </c>
      <c r="E167" s="45" t="s">
        <v>517</v>
      </c>
      <c r="F167" s="45" t="s">
        <v>497</v>
      </c>
      <c r="G167" s="45">
        <v>522.33098445595851</v>
      </c>
    </row>
    <row r="168" spans="2:7" ht="15" thickBot="1">
      <c r="B168" s="43" t="s">
        <v>518</v>
      </c>
      <c r="C168" s="43" t="s">
        <v>308</v>
      </c>
      <c r="D168" s="43">
        <v>365.80310880829029</v>
      </c>
      <c r="E168" s="43" t="s">
        <v>519</v>
      </c>
      <c r="F168" s="43" t="s">
        <v>497</v>
      </c>
      <c r="G168" s="43">
        <v>437.35689119170968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C403-D3B8-43E7-87A9-44EF6AB68A52}">
  <sheetPr>
    <tabColor theme="5" tint="-0.249977111117893"/>
  </sheetPr>
  <dimension ref="A2:Q83"/>
  <sheetViews>
    <sheetView topLeftCell="A48" zoomScale="68" workbookViewId="0">
      <selection activeCell="C29" sqref="C29"/>
    </sheetView>
  </sheetViews>
  <sheetFormatPr defaultColWidth="11.42578125" defaultRowHeight="14.45"/>
  <cols>
    <col min="1" max="1" width="23.7109375" customWidth="1"/>
    <col min="2" max="2" width="9.7109375" bestFit="1" customWidth="1"/>
    <col min="3" max="3" width="43.85546875" bestFit="1" customWidth="1"/>
    <col min="4" max="4" width="13.7109375" bestFit="1" customWidth="1"/>
    <col min="6" max="7" width="13.7109375" bestFit="1" customWidth="1"/>
    <col min="9" max="10" width="13.7109375" bestFit="1" customWidth="1"/>
  </cols>
  <sheetData>
    <row r="2" spans="1:14">
      <c r="A2" s="99" t="s">
        <v>593</v>
      </c>
      <c r="B2" s="99"/>
      <c r="C2" s="99"/>
      <c r="D2" s="99"/>
      <c r="E2" s="99"/>
      <c r="F2" s="99"/>
      <c r="G2" s="99"/>
    </row>
    <row r="3" spans="1:14">
      <c r="A3" s="99"/>
      <c r="B3" s="99"/>
      <c r="C3" s="99"/>
      <c r="D3" s="99"/>
      <c r="E3" s="99"/>
      <c r="F3" s="99"/>
      <c r="G3" s="99"/>
    </row>
    <row r="5" spans="1:14">
      <c r="A5" s="100" t="s">
        <v>535</v>
      </c>
      <c r="B5" s="101"/>
    </row>
    <row r="6" spans="1:14">
      <c r="A6" s="26" t="s">
        <v>536</v>
      </c>
      <c r="B6" s="28" t="s">
        <v>205</v>
      </c>
      <c r="C6" s="28" t="s">
        <v>537</v>
      </c>
      <c r="D6" s="28" t="s">
        <v>538</v>
      </c>
      <c r="E6" s="28" t="s">
        <v>539</v>
      </c>
      <c r="F6" s="28" t="s">
        <v>540</v>
      </c>
      <c r="G6" s="28" t="s">
        <v>541</v>
      </c>
      <c r="H6" s="28" t="s">
        <v>542</v>
      </c>
      <c r="I6" s="28" t="s">
        <v>543</v>
      </c>
      <c r="J6" s="28" t="s">
        <v>544</v>
      </c>
      <c r="K6" s="28" t="s">
        <v>545</v>
      </c>
      <c r="L6" s="28" t="s">
        <v>546</v>
      </c>
      <c r="M6" s="28" t="s">
        <v>547</v>
      </c>
      <c r="N6" s="28" t="s">
        <v>548</v>
      </c>
    </row>
    <row r="7" spans="1:14">
      <c r="A7" s="26" t="s">
        <v>549</v>
      </c>
      <c r="B7" s="27" t="s">
        <v>235</v>
      </c>
      <c r="C7" s="42">
        <v>14.82</v>
      </c>
      <c r="D7" s="42">
        <v>14.84</v>
      </c>
      <c r="E7" s="42">
        <v>27.58</v>
      </c>
      <c r="F7" s="42">
        <v>18.149999999999999</v>
      </c>
      <c r="G7" s="42">
        <v>8.33</v>
      </c>
      <c r="H7" s="42">
        <v>6.01</v>
      </c>
      <c r="I7" s="42">
        <v>6.18</v>
      </c>
      <c r="J7" s="42">
        <v>7.81</v>
      </c>
      <c r="K7" s="42">
        <v>10.24</v>
      </c>
      <c r="L7" s="42">
        <v>13.91</v>
      </c>
      <c r="M7" s="42">
        <v>17.78</v>
      </c>
      <c r="N7" s="42">
        <v>19.7</v>
      </c>
    </row>
    <row r="8" spans="1:14">
      <c r="A8" s="26" t="s">
        <v>550</v>
      </c>
      <c r="B8" s="27" t="s">
        <v>235</v>
      </c>
      <c r="C8" s="42">
        <v>0</v>
      </c>
      <c r="D8" s="42">
        <v>0</v>
      </c>
      <c r="E8" s="42">
        <v>0</v>
      </c>
      <c r="F8" s="42">
        <v>0.54</v>
      </c>
      <c r="G8" s="42">
        <v>5.92</v>
      </c>
      <c r="H8" s="42">
        <v>11.49</v>
      </c>
      <c r="I8" s="42">
        <v>10.67</v>
      </c>
      <c r="J8" s="42">
        <v>10.17</v>
      </c>
      <c r="K8" s="42">
        <v>8.07</v>
      </c>
      <c r="L8" s="42">
        <v>7.47</v>
      </c>
      <c r="M8" s="42">
        <v>4.82</v>
      </c>
      <c r="N8" s="42">
        <v>0.91</v>
      </c>
    </row>
    <row r="9" spans="1:14">
      <c r="A9" s="26" t="s">
        <v>551</v>
      </c>
      <c r="B9" s="27" t="s">
        <v>235</v>
      </c>
      <c r="C9" s="42">
        <v>0.42</v>
      </c>
      <c r="D9" s="42">
        <v>0.4</v>
      </c>
      <c r="E9" s="42">
        <v>0.64</v>
      </c>
      <c r="F9" s="42">
        <v>1.03</v>
      </c>
      <c r="G9" s="42">
        <v>1.99</v>
      </c>
      <c r="H9" s="42">
        <v>2.0499999999999998</v>
      </c>
      <c r="I9" s="42">
        <v>1.93</v>
      </c>
      <c r="J9" s="42">
        <v>1.99</v>
      </c>
      <c r="K9" s="42">
        <v>1.41</v>
      </c>
      <c r="L9" s="42">
        <v>0.69</v>
      </c>
      <c r="M9" s="42">
        <v>0.67</v>
      </c>
      <c r="N9" s="42">
        <v>0.62</v>
      </c>
    </row>
    <row r="10" spans="1:14">
      <c r="A10" s="26" t="s">
        <v>552</v>
      </c>
      <c r="B10" s="27" t="s">
        <v>235</v>
      </c>
      <c r="C10" s="42">
        <v>372.32476683937824</v>
      </c>
      <c r="D10" s="42">
        <v>331.91025906735757</v>
      </c>
      <c r="E10" s="42">
        <v>298.20487046632127</v>
      </c>
      <c r="F10" s="42">
        <v>212.40435233160625</v>
      </c>
      <c r="G10" s="42">
        <v>217.95689119170984</v>
      </c>
      <c r="H10" s="42">
        <v>232.26347150259073</v>
      </c>
      <c r="I10" s="42">
        <v>247.54124352331613</v>
      </c>
      <c r="J10" s="42">
        <v>217.33569948186528</v>
      </c>
      <c r="K10" s="42">
        <v>206.18673575129537</v>
      </c>
      <c r="L10" s="42">
        <v>234.92481865284978</v>
      </c>
      <c r="M10" s="42">
        <v>257.55901554404153</v>
      </c>
      <c r="N10" s="42">
        <v>344.57310880829027</v>
      </c>
    </row>
    <row r="11" spans="1:14">
      <c r="A11" s="26" t="s">
        <v>553</v>
      </c>
      <c r="B11" s="27" t="s">
        <v>235</v>
      </c>
      <c r="C11" s="42">
        <v>43.73152202184523</v>
      </c>
      <c r="D11" s="42">
        <v>45.017143524919135</v>
      </c>
      <c r="E11" s="42">
        <v>50.55435326597533</v>
      </c>
      <c r="F11" s="42">
        <v>43.050760614089043</v>
      </c>
      <c r="G11" s="42">
        <v>42.619605020505354</v>
      </c>
      <c r="H11" s="42">
        <v>43.296487967552999</v>
      </c>
      <c r="I11" s="42">
        <v>42.432940341478229</v>
      </c>
      <c r="J11" s="42">
        <v>42.218665219869536</v>
      </c>
      <c r="K11" s="42">
        <v>42.191476392982509</v>
      </c>
      <c r="L11" s="42">
        <v>42.758040682126243</v>
      </c>
      <c r="M11" s="42">
        <v>44.175761079367398</v>
      </c>
      <c r="N11" s="42">
        <v>45.111472099393971</v>
      </c>
    </row>
    <row r="12" spans="1:14">
      <c r="A12" s="83" t="s">
        <v>554</v>
      </c>
      <c r="B12" s="84" t="s">
        <v>235</v>
      </c>
      <c r="C12" s="85">
        <v>0</v>
      </c>
      <c r="D12" s="85">
        <v>0</v>
      </c>
      <c r="E12" s="85">
        <v>0</v>
      </c>
      <c r="F12" s="85">
        <v>0</v>
      </c>
      <c r="G12" s="85">
        <v>0</v>
      </c>
      <c r="H12" s="85">
        <v>0</v>
      </c>
      <c r="I12" s="85">
        <v>0</v>
      </c>
      <c r="J12" s="85">
        <v>0</v>
      </c>
      <c r="K12" s="85">
        <v>0</v>
      </c>
      <c r="L12" s="85">
        <v>0</v>
      </c>
      <c r="M12" s="85">
        <v>0</v>
      </c>
      <c r="N12" s="85">
        <v>0</v>
      </c>
    </row>
    <row r="16" spans="1:14">
      <c r="A16" s="98" t="s">
        <v>555</v>
      </c>
      <c r="B16" s="98"/>
    </row>
    <row r="17" spans="1:17">
      <c r="A17" s="28" t="s">
        <v>204</v>
      </c>
      <c r="B17" s="28" t="s">
        <v>205</v>
      </c>
      <c r="C17" s="28" t="s">
        <v>537</v>
      </c>
      <c r="D17" s="28" t="s">
        <v>538</v>
      </c>
      <c r="E17" s="28" t="s">
        <v>539</v>
      </c>
      <c r="F17" s="28" t="s">
        <v>540</v>
      </c>
      <c r="G17" s="28" t="s">
        <v>541</v>
      </c>
      <c r="H17" s="28" t="s">
        <v>542</v>
      </c>
      <c r="I17" s="28" t="s">
        <v>543</v>
      </c>
      <c r="J17" s="28" t="s">
        <v>544</v>
      </c>
      <c r="K17" s="28" t="s">
        <v>545</v>
      </c>
      <c r="L17" s="28" t="s">
        <v>546</v>
      </c>
      <c r="M17" s="28" t="s">
        <v>547</v>
      </c>
      <c r="N17" s="28" t="s">
        <v>548</v>
      </c>
    </row>
    <row r="18" spans="1:17">
      <c r="A18" s="28" t="s">
        <v>556</v>
      </c>
      <c r="B18" s="27" t="s">
        <v>557</v>
      </c>
      <c r="C18" s="24">
        <f>$B$72*C7+$B$73*C8+$B$74*C9+C78*C10+$B$75*C11+$B$76*C12</f>
        <v>28408448.009372219</v>
      </c>
      <c r="D18" s="24">
        <f t="shared" ref="D18:N18" si="0">$B$72*D7+$B$73*D8+$B$74*D9+D78*D10+$B$75*D11+$B$76*D12</f>
        <v>25114945.684304524</v>
      </c>
      <c r="E18" s="24">
        <f t="shared" si="0"/>
        <v>24072521.075085819</v>
      </c>
      <c r="F18" s="24">
        <f t="shared" si="0"/>
        <v>17109319.379717592</v>
      </c>
      <c r="G18" s="24">
        <f t="shared" si="0"/>
        <v>20629794.77378688</v>
      </c>
      <c r="H18" s="24">
        <f t="shared" si="0"/>
        <v>24974370.837929741</v>
      </c>
      <c r="I18" s="24">
        <f t="shared" si="0"/>
        <v>25540463.816562694</v>
      </c>
      <c r="J18" s="24">
        <f t="shared" si="0"/>
        <v>20330047.220279191</v>
      </c>
      <c r="K18" s="24">
        <f t="shared" si="0"/>
        <v>18064920.424828801</v>
      </c>
      <c r="L18" s="24">
        <f t="shared" si="0"/>
        <v>17943789.056055643</v>
      </c>
      <c r="M18" s="24">
        <f t="shared" si="0"/>
        <v>18463609.961406566</v>
      </c>
      <c r="N18" s="24">
        <f t="shared" si="0"/>
        <v>21795868.124297608</v>
      </c>
    </row>
    <row r="19" spans="1:17">
      <c r="B19" s="29"/>
    </row>
    <row r="20" spans="1:17">
      <c r="A20" s="28" t="s">
        <v>558</v>
      </c>
      <c r="B20" s="27" t="s">
        <v>557</v>
      </c>
      <c r="C20" s="42">
        <f>SUM(C18:N18)</f>
        <v>262448098.36362723</v>
      </c>
      <c r="Q20" s="52"/>
    </row>
    <row r="21" spans="1:17">
      <c r="Q21" s="52"/>
    </row>
    <row r="22" spans="1:17">
      <c r="Q22" s="52"/>
    </row>
    <row r="23" spans="1:17">
      <c r="A23" s="98" t="s">
        <v>369</v>
      </c>
      <c r="B23" s="98"/>
      <c r="Q23" s="52"/>
    </row>
    <row r="24" spans="1:17">
      <c r="Q24" s="52"/>
    </row>
    <row r="25" spans="1:17">
      <c r="A25" s="26" t="s">
        <v>559</v>
      </c>
      <c r="Q25" s="52"/>
    </row>
    <row r="26" spans="1:17">
      <c r="A26" s="1"/>
      <c r="B26" s="28" t="s">
        <v>205</v>
      </c>
      <c r="C26" s="28" t="s">
        <v>537</v>
      </c>
      <c r="D26" s="28" t="s">
        <v>538</v>
      </c>
      <c r="E26" s="28" t="s">
        <v>539</v>
      </c>
      <c r="F26" s="28" t="s">
        <v>540</v>
      </c>
      <c r="G26" s="28" t="s">
        <v>541</v>
      </c>
      <c r="H26" s="28" t="s">
        <v>542</v>
      </c>
      <c r="I26" s="28" t="s">
        <v>543</v>
      </c>
      <c r="J26" s="28" t="s">
        <v>544</v>
      </c>
      <c r="K26" s="28" t="s">
        <v>545</v>
      </c>
      <c r="L26" s="28" t="s">
        <v>546</v>
      </c>
      <c r="M26" s="28" t="s">
        <v>547</v>
      </c>
      <c r="N26" s="28" t="s">
        <v>548</v>
      </c>
      <c r="Q26" s="52"/>
    </row>
    <row r="27" spans="1:17">
      <c r="A27" s="28" t="s">
        <v>560</v>
      </c>
      <c r="B27" s="27" t="s">
        <v>235</v>
      </c>
      <c r="C27" s="24">
        <f>(1-$B$83)*(C7+C8+C9+C10)+C12</f>
        <v>374</v>
      </c>
      <c r="D27" s="24">
        <f t="shared" ref="D27:N27" si="1">(1-$B$83)*(D7+D8+D9+D10)+D12</f>
        <v>335.00000000000006</v>
      </c>
      <c r="E27" s="24">
        <f t="shared" si="1"/>
        <v>315.00000000000006</v>
      </c>
      <c r="F27" s="24">
        <f t="shared" si="1"/>
        <v>224.00000000000003</v>
      </c>
      <c r="G27" s="24">
        <f t="shared" si="1"/>
        <v>226</v>
      </c>
      <c r="H27" s="24">
        <f t="shared" si="1"/>
        <v>243.00000000000006</v>
      </c>
      <c r="I27" s="24">
        <f t="shared" si="1"/>
        <v>257.00000000000006</v>
      </c>
      <c r="J27" s="24">
        <f t="shared" si="1"/>
        <v>228.99999999999997</v>
      </c>
      <c r="K27" s="24">
        <f t="shared" si="1"/>
        <v>218.00000000000003</v>
      </c>
      <c r="L27" s="24">
        <f t="shared" si="1"/>
        <v>248.00000000000006</v>
      </c>
      <c r="M27" s="24">
        <f t="shared" si="1"/>
        <v>271.00000000000006</v>
      </c>
      <c r="N27" s="24">
        <f t="shared" si="1"/>
        <v>353.00000000000011</v>
      </c>
      <c r="Q27" s="52"/>
    </row>
    <row r="28" spans="1:17">
      <c r="A28" s="28" t="s">
        <v>561</v>
      </c>
      <c r="B28" s="27"/>
      <c r="C28" s="27" t="s">
        <v>562</v>
      </c>
      <c r="D28" s="27" t="s">
        <v>562</v>
      </c>
      <c r="E28" s="27" t="s">
        <v>562</v>
      </c>
      <c r="F28" s="27" t="s">
        <v>562</v>
      </c>
      <c r="G28" s="27" t="s">
        <v>562</v>
      </c>
      <c r="H28" s="27" t="s">
        <v>562</v>
      </c>
      <c r="I28" s="27" t="s">
        <v>562</v>
      </c>
      <c r="J28" s="27" t="s">
        <v>562</v>
      </c>
      <c r="K28" s="27" t="s">
        <v>562</v>
      </c>
      <c r="L28" s="27" t="s">
        <v>562</v>
      </c>
      <c r="M28" s="27" t="s">
        <v>562</v>
      </c>
      <c r="N28" s="27" t="s">
        <v>562</v>
      </c>
      <c r="Q28" s="52"/>
    </row>
    <row r="29" spans="1:17">
      <c r="A29" s="28" t="s">
        <v>563</v>
      </c>
      <c r="B29" s="27" t="s">
        <v>235</v>
      </c>
      <c r="C29" s="82">
        <v>374</v>
      </c>
      <c r="D29" s="82">
        <v>335</v>
      </c>
      <c r="E29" s="82">
        <v>315</v>
      </c>
      <c r="F29" s="82">
        <v>224</v>
      </c>
      <c r="G29" s="81">
        <v>226</v>
      </c>
      <c r="H29" s="81">
        <v>243</v>
      </c>
      <c r="I29" s="81">
        <v>257</v>
      </c>
      <c r="J29" s="81">
        <v>229</v>
      </c>
      <c r="K29" s="81">
        <v>218</v>
      </c>
      <c r="L29" s="81">
        <v>248</v>
      </c>
      <c r="M29" s="81">
        <v>271</v>
      </c>
      <c r="N29" s="82">
        <v>353</v>
      </c>
      <c r="Q29" s="52"/>
    </row>
    <row r="30" spans="1:17">
      <c r="Q30" s="52"/>
    </row>
    <row r="31" spans="1:17">
      <c r="A31" s="28" t="s">
        <v>564</v>
      </c>
      <c r="Q31" s="52"/>
    </row>
    <row r="32" spans="1:17">
      <c r="A32" s="1"/>
      <c r="B32" s="26" t="s">
        <v>205</v>
      </c>
      <c r="C32" s="26" t="s">
        <v>537</v>
      </c>
      <c r="D32" s="26" t="s">
        <v>538</v>
      </c>
      <c r="E32" s="26" t="s">
        <v>539</v>
      </c>
      <c r="F32" s="26" t="s">
        <v>540</v>
      </c>
      <c r="G32" s="26" t="s">
        <v>541</v>
      </c>
      <c r="H32" s="26" t="s">
        <v>542</v>
      </c>
      <c r="I32" s="26" t="s">
        <v>543</v>
      </c>
      <c r="J32" s="26" t="s">
        <v>544</v>
      </c>
      <c r="K32" s="26" t="s">
        <v>545</v>
      </c>
      <c r="L32" s="26" t="s">
        <v>546</v>
      </c>
      <c r="M32" s="26" t="s">
        <v>547</v>
      </c>
      <c r="N32" s="26" t="s">
        <v>548</v>
      </c>
    </row>
    <row r="33" spans="1:14">
      <c r="A33" s="28" t="s">
        <v>565</v>
      </c>
      <c r="B33" s="27" t="s">
        <v>235</v>
      </c>
      <c r="C33" s="24">
        <f>C11</f>
        <v>43.73152202184523</v>
      </c>
      <c r="D33" s="24">
        <f t="shared" ref="D33:N33" si="2">D11</f>
        <v>45.017143524919135</v>
      </c>
      <c r="E33" s="24">
        <f t="shared" si="2"/>
        <v>50.55435326597533</v>
      </c>
      <c r="F33" s="24">
        <f t="shared" si="2"/>
        <v>43.050760614089043</v>
      </c>
      <c r="G33" s="24">
        <f t="shared" si="2"/>
        <v>42.619605020505354</v>
      </c>
      <c r="H33" s="24">
        <f t="shared" si="2"/>
        <v>43.296487967552999</v>
      </c>
      <c r="I33" s="24">
        <f t="shared" si="2"/>
        <v>42.432940341478229</v>
      </c>
      <c r="J33" s="24">
        <f t="shared" si="2"/>
        <v>42.218665219869536</v>
      </c>
      <c r="K33" s="24">
        <f t="shared" si="2"/>
        <v>42.191476392982509</v>
      </c>
      <c r="L33" s="24">
        <f t="shared" si="2"/>
        <v>42.758040682126243</v>
      </c>
      <c r="M33" s="24">
        <f t="shared" si="2"/>
        <v>44.175761079367398</v>
      </c>
      <c r="N33" s="24">
        <f t="shared" si="2"/>
        <v>45.111472099393971</v>
      </c>
    </row>
    <row r="34" spans="1:14">
      <c r="A34" s="28" t="s">
        <v>561</v>
      </c>
      <c r="B34" s="27"/>
      <c r="C34" s="27" t="s">
        <v>566</v>
      </c>
      <c r="D34" s="27" t="s">
        <v>566</v>
      </c>
      <c r="E34" s="27" t="s">
        <v>566</v>
      </c>
      <c r="F34" s="27" t="s">
        <v>566</v>
      </c>
      <c r="G34" s="27" t="s">
        <v>566</v>
      </c>
      <c r="H34" s="27" t="s">
        <v>566</v>
      </c>
      <c r="I34" s="27" t="s">
        <v>566</v>
      </c>
      <c r="J34" s="27" t="s">
        <v>566</v>
      </c>
      <c r="K34" s="27" t="s">
        <v>566</v>
      </c>
      <c r="L34" s="27" t="s">
        <v>566</v>
      </c>
      <c r="M34" s="27" t="s">
        <v>566</v>
      </c>
      <c r="N34" s="27" t="s">
        <v>566</v>
      </c>
    </row>
    <row r="35" spans="1:14">
      <c r="A35" s="28" t="s">
        <v>567</v>
      </c>
      <c r="B35" s="27" t="s">
        <v>235</v>
      </c>
      <c r="C35" s="38">
        <f>DATOSMENSUALES!C16</f>
        <v>43.73152202184523</v>
      </c>
      <c r="D35" s="38">
        <f>DATOSMENSUALES!D16</f>
        <v>45.017143524919135</v>
      </c>
      <c r="E35" s="38">
        <f>DATOSMENSUALES!E16</f>
        <v>50.55435326597533</v>
      </c>
      <c r="F35" s="38">
        <f>DATOSMENSUALES!F16</f>
        <v>43.050760614089043</v>
      </c>
      <c r="G35" s="38">
        <f>DATOSMENSUALES!G16</f>
        <v>42.619605020505354</v>
      </c>
      <c r="H35" s="38">
        <f>DATOSMENSUALES!H16</f>
        <v>43.296487967552999</v>
      </c>
      <c r="I35" s="38">
        <f>DATOSMENSUALES!I16</f>
        <v>42.432940341478229</v>
      </c>
      <c r="J35" s="38">
        <f>DATOSMENSUALES!J16</f>
        <v>42.218665219869536</v>
      </c>
      <c r="K35" s="38">
        <f>DATOSMENSUALES!K16</f>
        <v>42.191476392982509</v>
      </c>
      <c r="L35" s="38">
        <f>DATOSMENSUALES!L16</f>
        <v>42.758040682126243</v>
      </c>
      <c r="M35" s="38">
        <f>DATOSMENSUALES!M16</f>
        <v>44.175761079367398</v>
      </c>
      <c r="N35" s="38">
        <f>DATOSMENSUALES!N16</f>
        <v>45.111472099393971</v>
      </c>
    </row>
    <row r="36" spans="1:14">
      <c r="A36" s="28" t="s">
        <v>568</v>
      </c>
      <c r="B36" s="27" t="s">
        <v>235</v>
      </c>
      <c r="C36" s="24"/>
      <c r="D36" s="24"/>
      <c r="E36" s="24"/>
      <c r="F36" s="24"/>
      <c r="G36" s="24"/>
      <c r="H36" s="24"/>
      <c r="I36" s="24"/>
      <c r="J36" s="24"/>
      <c r="K36" s="24"/>
      <c r="L36" s="24"/>
      <c r="M36" s="24"/>
      <c r="N36" s="24"/>
    </row>
    <row r="39" spans="1:14" ht="14.45" customHeight="1">
      <c r="A39" s="102" t="s">
        <v>569</v>
      </c>
      <c r="B39" s="102"/>
      <c r="C39" s="102"/>
    </row>
    <row r="40" spans="1:14">
      <c r="A40" s="19"/>
    </row>
    <row r="41" spans="1:14">
      <c r="A41" s="28" t="s">
        <v>570</v>
      </c>
      <c r="B41" s="28" t="s">
        <v>205</v>
      </c>
      <c r="C41" s="28" t="s">
        <v>537</v>
      </c>
      <c r="D41" s="28" t="s">
        <v>538</v>
      </c>
      <c r="E41" s="28" t="s">
        <v>539</v>
      </c>
      <c r="F41" s="28" t="s">
        <v>540</v>
      </c>
      <c r="G41" s="28" t="s">
        <v>541</v>
      </c>
      <c r="H41" s="28" t="s">
        <v>542</v>
      </c>
      <c r="I41" s="28" t="s">
        <v>543</v>
      </c>
      <c r="J41" s="28" t="s">
        <v>544</v>
      </c>
      <c r="K41" s="28" t="s">
        <v>545</v>
      </c>
      <c r="L41" s="28" t="s">
        <v>546</v>
      </c>
      <c r="M41" s="28" t="s">
        <v>547</v>
      </c>
      <c r="N41" s="28" t="s">
        <v>548</v>
      </c>
    </row>
    <row r="42" spans="1:14">
      <c r="A42" s="28" t="s">
        <v>560</v>
      </c>
      <c r="B42" s="27" t="s">
        <v>235</v>
      </c>
      <c r="C42" s="24">
        <f>C7</f>
        <v>14.82</v>
      </c>
      <c r="D42" s="24">
        <f t="shared" ref="D42:N42" si="3">D7</f>
        <v>14.84</v>
      </c>
      <c r="E42" s="24">
        <f t="shared" si="3"/>
        <v>27.58</v>
      </c>
      <c r="F42" s="24">
        <f t="shared" si="3"/>
        <v>18.149999999999999</v>
      </c>
      <c r="G42" s="24">
        <f t="shared" si="3"/>
        <v>8.33</v>
      </c>
      <c r="H42" s="24">
        <f t="shared" si="3"/>
        <v>6.01</v>
      </c>
      <c r="I42" s="24">
        <f t="shared" si="3"/>
        <v>6.18</v>
      </c>
      <c r="J42" s="24">
        <f t="shared" si="3"/>
        <v>7.81</v>
      </c>
      <c r="K42" s="24">
        <f t="shared" si="3"/>
        <v>10.24</v>
      </c>
      <c r="L42" s="24">
        <f t="shared" si="3"/>
        <v>13.91</v>
      </c>
      <c r="M42" s="24">
        <f t="shared" si="3"/>
        <v>17.78</v>
      </c>
      <c r="N42" s="24">
        <f t="shared" si="3"/>
        <v>19.7</v>
      </c>
    </row>
    <row r="43" spans="1:14">
      <c r="A43" s="28" t="s">
        <v>561</v>
      </c>
      <c r="B43" s="27"/>
      <c r="C43" s="27" t="s">
        <v>562</v>
      </c>
      <c r="D43" s="27" t="s">
        <v>562</v>
      </c>
      <c r="E43" s="27" t="s">
        <v>562</v>
      </c>
      <c r="F43" s="27" t="s">
        <v>562</v>
      </c>
      <c r="G43" s="27" t="s">
        <v>562</v>
      </c>
      <c r="H43" s="27" t="s">
        <v>562</v>
      </c>
      <c r="I43" s="27" t="s">
        <v>562</v>
      </c>
      <c r="J43" s="27" t="s">
        <v>562</v>
      </c>
      <c r="K43" s="27" t="s">
        <v>562</v>
      </c>
      <c r="L43" s="27" t="s">
        <v>562</v>
      </c>
      <c r="M43" s="27" t="s">
        <v>562</v>
      </c>
      <c r="N43" s="27" t="s">
        <v>562</v>
      </c>
    </row>
    <row r="44" spans="1:14">
      <c r="A44" s="28" t="s">
        <v>571</v>
      </c>
      <c r="B44" s="27" t="s">
        <v>235</v>
      </c>
      <c r="C44" s="38">
        <v>14.82</v>
      </c>
      <c r="D44" s="38">
        <v>14.84</v>
      </c>
      <c r="E44" s="38">
        <v>27.58</v>
      </c>
      <c r="F44" s="38">
        <v>18.149999999999999</v>
      </c>
      <c r="G44" s="38">
        <v>8.33</v>
      </c>
      <c r="H44" s="38">
        <v>6.01</v>
      </c>
      <c r="I44" s="38">
        <v>6.18</v>
      </c>
      <c r="J44" s="38">
        <v>7.81</v>
      </c>
      <c r="K44" s="38">
        <v>10.24</v>
      </c>
      <c r="L44" s="38">
        <v>13.91</v>
      </c>
      <c r="M44" s="38">
        <v>17.78</v>
      </c>
      <c r="N44" s="38">
        <v>19.7</v>
      </c>
    </row>
    <row r="45" spans="1:14">
      <c r="A45" s="28"/>
      <c r="B45" s="27"/>
      <c r="C45" s="24"/>
      <c r="D45" s="24"/>
      <c r="E45" s="24"/>
      <c r="F45" s="24"/>
      <c r="G45" s="24"/>
      <c r="H45" s="24"/>
      <c r="I45" s="24"/>
      <c r="J45" s="24"/>
      <c r="K45" s="24"/>
      <c r="L45" s="24"/>
      <c r="M45" s="24"/>
      <c r="N45" s="24"/>
    </row>
    <row r="48" spans="1:14">
      <c r="A48" s="28" t="s">
        <v>572</v>
      </c>
      <c r="B48" s="28" t="s">
        <v>205</v>
      </c>
      <c r="C48" s="28" t="s">
        <v>537</v>
      </c>
      <c r="D48" s="28" t="s">
        <v>538</v>
      </c>
      <c r="E48" s="28" t="s">
        <v>539</v>
      </c>
      <c r="F48" s="28" t="s">
        <v>540</v>
      </c>
      <c r="G48" s="28" t="s">
        <v>541</v>
      </c>
      <c r="H48" s="28" t="s">
        <v>542</v>
      </c>
      <c r="I48" s="28" t="s">
        <v>543</v>
      </c>
      <c r="J48" s="28" t="s">
        <v>544</v>
      </c>
      <c r="K48" s="28" t="s">
        <v>545</v>
      </c>
      <c r="L48" s="28" t="s">
        <v>546</v>
      </c>
      <c r="M48" s="28" t="s">
        <v>547</v>
      </c>
      <c r="N48" s="28" t="s">
        <v>548</v>
      </c>
    </row>
    <row r="49" spans="1:14">
      <c r="A49" s="28" t="s">
        <v>560</v>
      </c>
      <c r="B49" s="27" t="s">
        <v>235</v>
      </c>
      <c r="C49" s="24">
        <f>C8</f>
        <v>0</v>
      </c>
      <c r="D49" s="24">
        <f t="shared" ref="D49:N49" si="4">D8</f>
        <v>0</v>
      </c>
      <c r="E49" s="24">
        <f t="shared" si="4"/>
        <v>0</v>
      </c>
      <c r="F49" s="24">
        <f t="shared" si="4"/>
        <v>0.54</v>
      </c>
      <c r="G49" s="24">
        <f t="shared" si="4"/>
        <v>5.92</v>
      </c>
      <c r="H49" s="24">
        <f t="shared" si="4"/>
        <v>11.49</v>
      </c>
      <c r="I49" s="24">
        <f t="shared" si="4"/>
        <v>10.67</v>
      </c>
      <c r="J49" s="24">
        <f t="shared" si="4"/>
        <v>10.17</v>
      </c>
      <c r="K49" s="24">
        <f t="shared" si="4"/>
        <v>8.07</v>
      </c>
      <c r="L49" s="24">
        <f t="shared" si="4"/>
        <v>7.47</v>
      </c>
      <c r="M49" s="24">
        <f t="shared" si="4"/>
        <v>4.82</v>
      </c>
      <c r="N49" s="24">
        <f t="shared" si="4"/>
        <v>0.91</v>
      </c>
    </row>
    <row r="50" spans="1:14">
      <c r="A50" s="28" t="s">
        <v>561</v>
      </c>
      <c r="B50" s="27"/>
      <c r="C50" s="27" t="s">
        <v>562</v>
      </c>
      <c r="D50" s="27" t="s">
        <v>562</v>
      </c>
      <c r="E50" s="27" t="s">
        <v>562</v>
      </c>
      <c r="F50" s="27" t="s">
        <v>562</v>
      </c>
      <c r="G50" s="27" t="s">
        <v>562</v>
      </c>
      <c r="H50" s="27" t="s">
        <v>562</v>
      </c>
      <c r="I50" s="27" t="s">
        <v>562</v>
      </c>
      <c r="J50" s="27" t="s">
        <v>562</v>
      </c>
      <c r="K50" s="27" t="s">
        <v>562</v>
      </c>
      <c r="L50" s="27" t="s">
        <v>562</v>
      </c>
      <c r="M50" s="27" t="s">
        <v>562</v>
      </c>
      <c r="N50" s="27" t="s">
        <v>562</v>
      </c>
    </row>
    <row r="51" spans="1:14">
      <c r="A51" s="28" t="s">
        <v>573</v>
      </c>
      <c r="B51" s="27" t="s">
        <v>235</v>
      </c>
      <c r="C51" s="38">
        <v>0</v>
      </c>
      <c r="D51" s="38">
        <v>0</v>
      </c>
      <c r="E51" s="38">
        <v>0</v>
      </c>
      <c r="F51" s="38">
        <v>0.54</v>
      </c>
      <c r="G51" s="38">
        <v>5.92</v>
      </c>
      <c r="H51" s="38">
        <v>11.49</v>
      </c>
      <c r="I51" s="38">
        <v>10.67</v>
      </c>
      <c r="J51" s="38">
        <v>10.17</v>
      </c>
      <c r="K51" s="38">
        <v>8.07</v>
      </c>
      <c r="L51" s="38">
        <v>7.47</v>
      </c>
      <c r="M51" s="38">
        <v>4.82</v>
      </c>
      <c r="N51" s="38">
        <v>0.91</v>
      </c>
    </row>
    <row r="52" spans="1:14">
      <c r="A52" s="28"/>
      <c r="B52" s="27"/>
      <c r="C52" s="24"/>
      <c r="D52" s="24"/>
      <c r="E52" s="24"/>
      <c r="F52" s="24"/>
      <c r="G52" s="24"/>
      <c r="H52" s="24"/>
      <c r="I52" s="24"/>
      <c r="J52" s="24"/>
      <c r="K52" s="24"/>
      <c r="L52" s="24"/>
      <c r="M52" s="24"/>
      <c r="N52" s="24"/>
    </row>
    <row r="53" spans="1:14">
      <c r="C53" s="18"/>
      <c r="D53" s="18"/>
      <c r="E53" s="18"/>
      <c r="F53" s="18"/>
      <c r="G53" s="18"/>
      <c r="H53" s="18"/>
      <c r="I53" s="18"/>
      <c r="J53" s="18"/>
      <c r="K53" s="18"/>
      <c r="L53" s="18"/>
      <c r="M53" s="18"/>
      <c r="N53" s="18"/>
    </row>
    <row r="54" spans="1:14">
      <c r="A54" s="28" t="s">
        <v>574</v>
      </c>
      <c r="B54" s="25" t="s">
        <v>205</v>
      </c>
      <c r="C54" s="25" t="s">
        <v>537</v>
      </c>
      <c r="D54" s="25" t="s">
        <v>538</v>
      </c>
      <c r="E54" s="25" t="s">
        <v>539</v>
      </c>
      <c r="F54" s="25" t="s">
        <v>540</v>
      </c>
      <c r="G54" s="25" t="s">
        <v>541</v>
      </c>
      <c r="H54" s="25" t="s">
        <v>542</v>
      </c>
      <c r="I54" s="25" t="s">
        <v>543</v>
      </c>
      <c r="J54" s="25" t="s">
        <v>544</v>
      </c>
      <c r="K54" s="25" t="s">
        <v>545</v>
      </c>
      <c r="L54" s="25" t="s">
        <v>546</v>
      </c>
      <c r="M54" s="25" t="s">
        <v>547</v>
      </c>
      <c r="N54" s="25" t="s">
        <v>548</v>
      </c>
    </row>
    <row r="55" spans="1:14">
      <c r="A55" s="30" t="s">
        <v>560</v>
      </c>
      <c r="B55" s="31" t="s">
        <v>235</v>
      </c>
      <c r="C55" s="39">
        <f>C9</f>
        <v>0.42</v>
      </c>
      <c r="D55" s="39">
        <f t="shared" ref="D55:N55" si="5">D9</f>
        <v>0.4</v>
      </c>
      <c r="E55" s="39">
        <f t="shared" si="5"/>
        <v>0.64</v>
      </c>
      <c r="F55" s="39">
        <f t="shared" si="5"/>
        <v>1.03</v>
      </c>
      <c r="G55" s="39">
        <f t="shared" si="5"/>
        <v>1.99</v>
      </c>
      <c r="H55" s="39">
        <f t="shared" si="5"/>
        <v>2.0499999999999998</v>
      </c>
      <c r="I55" s="39">
        <f t="shared" si="5"/>
        <v>1.93</v>
      </c>
      <c r="J55" s="39">
        <f t="shared" si="5"/>
        <v>1.99</v>
      </c>
      <c r="K55" s="39">
        <f t="shared" si="5"/>
        <v>1.41</v>
      </c>
      <c r="L55" s="39">
        <f t="shared" si="5"/>
        <v>0.69</v>
      </c>
      <c r="M55" s="39">
        <f t="shared" si="5"/>
        <v>0.67</v>
      </c>
      <c r="N55" s="39">
        <f t="shared" si="5"/>
        <v>0.62</v>
      </c>
    </row>
    <row r="56" spans="1:14">
      <c r="A56" s="30" t="s">
        <v>561</v>
      </c>
      <c r="B56" s="31"/>
      <c r="C56" s="31" t="s">
        <v>562</v>
      </c>
      <c r="D56" s="31" t="s">
        <v>562</v>
      </c>
      <c r="E56" s="31" t="s">
        <v>562</v>
      </c>
      <c r="F56" s="31" t="s">
        <v>562</v>
      </c>
      <c r="G56" s="31" t="s">
        <v>562</v>
      </c>
      <c r="H56" s="31" t="s">
        <v>562</v>
      </c>
      <c r="I56" s="31" t="s">
        <v>562</v>
      </c>
      <c r="J56" s="31" t="s">
        <v>562</v>
      </c>
      <c r="K56" s="31" t="s">
        <v>562</v>
      </c>
      <c r="L56" s="31" t="s">
        <v>562</v>
      </c>
      <c r="M56" s="31" t="s">
        <v>562</v>
      </c>
      <c r="N56" s="31" t="s">
        <v>562</v>
      </c>
    </row>
    <row r="57" spans="1:14">
      <c r="A57" s="30" t="s">
        <v>573</v>
      </c>
      <c r="B57" s="31" t="s">
        <v>235</v>
      </c>
      <c r="C57" s="40">
        <v>0.42</v>
      </c>
      <c r="D57" s="40">
        <v>0.4</v>
      </c>
      <c r="E57" s="40">
        <v>0.64</v>
      </c>
      <c r="F57" s="40">
        <v>1.03</v>
      </c>
      <c r="G57" s="40">
        <v>1.99</v>
      </c>
      <c r="H57" s="40">
        <v>2.0499999999999998</v>
      </c>
      <c r="I57" s="40">
        <v>1.93</v>
      </c>
      <c r="J57" s="40">
        <v>1.99</v>
      </c>
      <c r="K57" s="40">
        <v>1.41</v>
      </c>
      <c r="L57" s="40">
        <v>0.69</v>
      </c>
      <c r="M57" s="40">
        <v>0.67</v>
      </c>
      <c r="N57" s="40">
        <v>0.62</v>
      </c>
    </row>
    <row r="58" spans="1:14">
      <c r="A58" s="28"/>
      <c r="B58" s="27"/>
      <c r="C58" s="31"/>
      <c r="D58" s="31"/>
      <c r="E58" s="31"/>
      <c r="F58" s="31"/>
      <c r="G58" s="31"/>
      <c r="H58" s="31"/>
      <c r="I58" s="31"/>
      <c r="J58" s="31"/>
      <c r="K58" s="31"/>
      <c r="L58" s="31"/>
      <c r="M58" s="31"/>
      <c r="N58" s="31"/>
    </row>
    <row r="59" spans="1:14">
      <c r="C59" s="18"/>
      <c r="D59" s="18"/>
      <c r="E59" s="18"/>
      <c r="F59" s="18"/>
      <c r="G59" s="18"/>
      <c r="H59" s="18"/>
      <c r="I59" s="18"/>
      <c r="J59" s="18"/>
      <c r="K59" s="18"/>
      <c r="L59" s="18"/>
      <c r="M59" s="18"/>
      <c r="N59" s="18"/>
    </row>
    <row r="60" spans="1:14">
      <c r="C60" s="18"/>
      <c r="D60" s="18"/>
      <c r="E60" s="18"/>
      <c r="F60" s="18"/>
      <c r="G60" s="18"/>
      <c r="H60" s="18"/>
      <c r="I60" s="18"/>
      <c r="J60" s="18"/>
      <c r="K60" s="18"/>
      <c r="L60" s="18"/>
      <c r="M60" s="18"/>
      <c r="N60" s="18"/>
    </row>
    <row r="61" spans="1:14">
      <c r="A61" s="98" t="s">
        <v>575</v>
      </c>
      <c r="B61" s="98"/>
      <c r="C61" s="18"/>
      <c r="D61" s="18"/>
      <c r="E61" s="18"/>
      <c r="F61" s="18"/>
      <c r="G61" s="18"/>
      <c r="H61" s="18"/>
      <c r="I61" s="18"/>
      <c r="J61" s="18"/>
      <c r="K61" s="18"/>
      <c r="L61" s="18"/>
      <c r="M61" s="18"/>
      <c r="N61" s="18"/>
    </row>
    <row r="62" spans="1:14">
      <c r="A62" s="32"/>
      <c r="B62" s="28" t="s">
        <v>205</v>
      </c>
      <c r="C62" s="28" t="s">
        <v>537</v>
      </c>
      <c r="D62" s="28" t="s">
        <v>538</v>
      </c>
      <c r="E62" s="28" t="s">
        <v>539</v>
      </c>
      <c r="F62" s="28" t="s">
        <v>540</v>
      </c>
      <c r="G62" s="28" t="s">
        <v>541</v>
      </c>
      <c r="H62" s="28" t="s">
        <v>542</v>
      </c>
      <c r="I62" s="28" t="s">
        <v>543</v>
      </c>
      <c r="J62" s="28" t="s">
        <v>544</v>
      </c>
      <c r="K62" s="28" t="s">
        <v>545</v>
      </c>
      <c r="L62" s="28" t="s">
        <v>546</v>
      </c>
      <c r="M62" s="28" t="s">
        <v>547</v>
      </c>
      <c r="N62" s="28" t="s">
        <v>548</v>
      </c>
    </row>
    <row r="63" spans="1:14">
      <c r="A63" s="28" t="s">
        <v>560</v>
      </c>
      <c r="B63" s="36" t="s">
        <v>235</v>
      </c>
      <c r="C63" s="41">
        <f>C7+C8+C9+C10</f>
        <v>387.56476683937825</v>
      </c>
      <c r="D63" s="41">
        <f t="shared" ref="D63:N63" si="6">D7+D8+D9+D10</f>
        <v>347.15025906735758</v>
      </c>
      <c r="E63" s="41">
        <f t="shared" si="6"/>
        <v>326.42487046632129</v>
      </c>
      <c r="F63" s="41">
        <f t="shared" si="6"/>
        <v>232.12435233160625</v>
      </c>
      <c r="G63" s="41">
        <f t="shared" si="6"/>
        <v>234.19689119170985</v>
      </c>
      <c r="H63" s="41">
        <f t="shared" si="6"/>
        <v>251.81347150259074</v>
      </c>
      <c r="I63" s="41">
        <f t="shared" si="6"/>
        <v>266.32124352331613</v>
      </c>
      <c r="J63" s="41">
        <f t="shared" si="6"/>
        <v>237.30569948186528</v>
      </c>
      <c r="K63" s="41">
        <f t="shared" si="6"/>
        <v>225.90673575129537</v>
      </c>
      <c r="L63" s="41">
        <f t="shared" si="6"/>
        <v>256.9948186528498</v>
      </c>
      <c r="M63" s="41">
        <f t="shared" si="6"/>
        <v>280.82901554404151</v>
      </c>
      <c r="N63" s="41">
        <f t="shared" si="6"/>
        <v>365.80310880829029</v>
      </c>
    </row>
    <row r="64" spans="1:14">
      <c r="A64" s="28" t="s">
        <v>561</v>
      </c>
      <c r="B64" s="37"/>
      <c r="C64" s="27" t="s">
        <v>576</v>
      </c>
      <c r="D64" s="27" t="s">
        <v>576</v>
      </c>
      <c r="E64" s="27" t="s">
        <v>576</v>
      </c>
      <c r="F64" s="27" t="s">
        <v>576</v>
      </c>
      <c r="G64" s="27" t="s">
        <v>576</v>
      </c>
      <c r="H64" s="27" t="s">
        <v>576</v>
      </c>
      <c r="I64" s="27" t="s">
        <v>576</v>
      </c>
      <c r="J64" s="27" t="s">
        <v>576</v>
      </c>
      <c r="K64" s="27" t="s">
        <v>576</v>
      </c>
      <c r="L64" s="27" t="s">
        <v>576</v>
      </c>
      <c r="M64" s="27" t="s">
        <v>576</v>
      </c>
      <c r="N64" s="27" t="s">
        <v>576</v>
      </c>
    </row>
    <row r="65" spans="1:14">
      <c r="A65" s="28" t="s">
        <v>577</v>
      </c>
      <c r="B65" s="37" t="s">
        <v>235</v>
      </c>
      <c r="C65" s="38">
        <v>803.16</v>
      </c>
      <c r="D65" s="38">
        <v>803.16</v>
      </c>
      <c r="E65" s="38">
        <v>803.16</v>
      </c>
      <c r="F65" s="38">
        <v>803.16</v>
      </c>
      <c r="G65" s="38">
        <v>803.16</v>
      </c>
      <c r="H65" s="38">
        <v>803.16</v>
      </c>
      <c r="I65" s="38">
        <v>803.16</v>
      </c>
      <c r="J65" s="38">
        <v>803.16</v>
      </c>
      <c r="K65" s="38">
        <v>803.16</v>
      </c>
      <c r="L65" s="38">
        <v>803.16</v>
      </c>
      <c r="M65" s="38">
        <v>803.16</v>
      </c>
      <c r="N65" s="38">
        <v>803.16</v>
      </c>
    </row>
    <row r="66" spans="1:14">
      <c r="A66" s="28" t="s">
        <v>568</v>
      </c>
      <c r="B66" s="37" t="s">
        <v>235</v>
      </c>
      <c r="C66" s="24"/>
      <c r="D66" s="24"/>
      <c r="E66" s="24"/>
      <c r="F66" s="24"/>
      <c r="G66" s="24"/>
      <c r="H66" s="24"/>
      <c r="I66" s="24"/>
      <c r="J66" s="24"/>
      <c r="K66" s="24"/>
      <c r="L66" s="24"/>
      <c r="M66" s="24"/>
      <c r="N66" s="24"/>
    </row>
    <row r="68" spans="1:14">
      <c r="A68" s="98" t="s">
        <v>578</v>
      </c>
      <c r="B68" s="98"/>
      <c r="C68" t="s">
        <v>579</v>
      </c>
    </row>
    <row r="70" spans="1:14">
      <c r="A70" s="98" t="s">
        <v>580</v>
      </c>
      <c r="B70" s="98"/>
    </row>
    <row r="71" spans="1:14">
      <c r="A71" s="28" t="s">
        <v>204</v>
      </c>
      <c r="B71" s="28" t="s">
        <v>27</v>
      </c>
    </row>
    <row r="72" spans="1:14">
      <c r="A72" s="28" t="s">
        <v>581</v>
      </c>
      <c r="B72" s="23">
        <v>101930</v>
      </c>
    </row>
    <row r="73" spans="1:14">
      <c r="A73" s="35" t="s">
        <v>582</v>
      </c>
      <c r="B73" s="20">
        <v>124370</v>
      </c>
    </row>
    <row r="74" spans="1:14">
      <c r="A74" s="35" t="s">
        <v>583</v>
      </c>
      <c r="B74" s="20">
        <v>159420</v>
      </c>
    </row>
    <row r="75" spans="1:14">
      <c r="A75" s="35" t="s">
        <v>584</v>
      </c>
      <c r="B75" s="21">
        <v>1388.89</v>
      </c>
    </row>
    <row r="76" spans="1:14">
      <c r="A76" s="86" t="s">
        <v>585</v>
      </c>
      <c r="B76" s="17">
        <v>1500000</v>
      </c>
    </row>
    <row r="77" spans="1:14">
      <c r="A77" s="22"/>
      <c r="B77" s="28" t="s">
        <v>205</v>
      </c>
      <c r="C77" s="28" t="s">
        <v>537</v>
      </c>
      <c r="D77" s="28" t="s">
        <v>538</v>
      </c>
      <c r="E77" s="28" t="s">
        <v>539</v>
      </c>
      <c r="F77" s="28" t="s">
        <v>540</v>
      </c>
      <c r="G77" s="28" t="s">
        <v>541</v>
      </c>
      <c r="H77" s="28" t="s">
        <v>542</v>
      </c>
      <c r="I77" s="28" t="s">
        <v>543</v>
      </c>
      <c r="J77" s="28" t="s">
        <v>544</v>
      </c>
      <c r="K77" s="28" t="s">
        <v>545</v>
      </c>
      <c r="L77" s="28" t="s">
        <v>546</v>
      </c>
      <c r="M77" s="28" t="s">
        <v>547</v>
      </c>
      <c r="N77" s="28" t="s">
        <v>548</v>
      </c>
    </row>
    <row r="78" spans="1:14">
      <c r="A78" s="35" t="s">
        <v>586</v>
      </c>
      <c r="B78" s="23" t="s">
        <v>192</v>
      </c>
      <c r="C78" s="33">
        <v>71900</v>
      </c>
      <c r="D78" s="33">
        <v>70730</v>
      </c>
      <c r="E78" s="33">
        <v>70720</v>
      </c>
      <c r="F78" s="33">
        <v>70470</v>
      </c>
      <c r="G78" s="33">
        <v>85650</v>
      </c>
      <c r="H78" s="33">
        <v>97070</v>
      </c>
      <c r="I78" s="33">
        <v>93790</v>
      </c>
      <c r="J78" s="33">
        <v>82330</v>
      </c>
      <c r="K78" s="33">
        <v>76310</v>
      </c>
      <c r="L78" s="33">
        <v>65670</v>
      </c>
      <c r="M78" s="33">
        <v>61670</v>
      </c>
      <c r="N78" s="33">
        <v>56630</v>
      </c>
    </row>
    <row r="81" spans="1:3">
      <c r="A81" s="98" t="s">
        <v>587</v>
      </c>
      <c r="B81" s="98"/>
    </row>
    <row r="82" spans="1:3">
      <c r="B82" s="28" t="s">
        <v>27</v>
      </c>
      <c r="C82" s="28" t="s">
        <v>205</v>
      </c>
    </row>
    <row r="83" spans="1:3">
      <c r="A83" s="28" t="s">
        <v>588</v>
      </c>
      <c r="B83" s="34">
        <v>3.5000000000000003E-2</v>
      </c>
      <c r="C83" t="s">
        <v>226</v>
      </c>
    </row>
  </sheetData>
  <mergeCells count="9">
    <mergeCell ref="A68:B68"/>
    <mergeCell ref="A70:B70"/>
    <mergeCell ref="A81:B81"/>
    <mergeCell ref="A2:G3"/>
    <mergeCell ref="A5:B5"/>
    <mergeCell ref="A16:B16"/>
    <mergeCell ref="A23:B23"/>
    <mergeCell ref="A39:C39"/>
    <mergeCell ref="A61:B6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7BFF-F54A-4914-86DB-C8E8682FE36C}">
  <sheetPr>
    <tabColor theme="3" tint="0.499984740745262"/>
  </sheetPr>
  <dimension ref="A1:H156"/>
  <sheetViews>
    <sheetView showGridLines="0" topLeftCell="A54" workbookViewId="0"/>
  </sheetViews>
  <sheetFormatPr defaultColWidth="11.42578125" defaultRowHeight="14.45"/>
  <cols>
    <col min="1" max="1" width="2.28515625" customWidth="1"/>
    <col min="2" max="2" width="6.42578125" bestFit="1" customWidth="1"/>
    <col min="3" max="3" width="14.5703125" bestFit="1" customWidth="1"/>
    <col min="4" max="5" width="12" bestFit="1" customWidth="1"/>
    <col min="6" max="6" width="12.140625" bestFit="1" customWidth="1"/>
    <col min="7" max="8" width="12" bestFit="1" customWidth="1"/>
  </cols>
  <sheetData>
    <row r="1" spans="1:8">
      <c r="A1" s="4" t="s">
        <v>520</v>
      </c>
    </row>
    <row r="2" spans="1:8">
      <c r="A2" s="4" t="s">
        <v>594</v>
      </c>
    </row>
    <row r="3" spans="1:8">
      <c r="A3" s="4" t="s">
        <v>595</v>
      </c>
    </row>
    <row r="6" spans="1:8" ht="15" thickBot="1">
      <c r="A6" t="s">
        <v>282</v>
      </c>
    </row>
    <row r="7" spans="1:8">
      <c r="B7" s="46"/>
      <c r="C7" s="46"/>
      <c r="D7" s="46" t="s">
        <v>522</v>
      </c>
      <c r="E7" s="46" t="s">
        <v>523</v>
      </c>
      <c r="F7" s="46" t="s">
        <v>524</v>
      </c>
      <c r="G7" s="46" t="s">
        <v>525</v>
      </c>
      <c r="H7" s="46" t="s">
        <v>525</v>
      </c>
    </row>
    <row r="8" spans="1:8" ht="15" thickBot="1">
      <c r="B8" s="47" t="s">
        <v>276</v>
      </c>
      <c r="C8" s="47" t="s">
        <v>277</v>
      </c>
      <c r="D8" s="47" t="s">
        <v>27</v>
      </c>
      <c r="E8" s="47" t="s">
        <v>526</v>
      </c>
      <c r="F8" s="47" t="s">
        <v>527</v>
      </c>
      <c r="G8" s="47" t="s">
        <v>528</v>
      </c>
      <c r="H8" s="47" t="s">
        <v>529</v>
      </c>
    </row>
    <row r="9" spans="1:8">
      <c r="B9" s="45" t="s">
        <v>284</v>
      </c>
      <c r="C9" s="45" t="s">
        <v>285</v>
      </c>
      <c r="D9" s="45">
        <v>14.82</v>
      </c>
      <c r="E9" s="45">
        <v>0</v>
      </c>
      <c r="F9" s="45">
        <v>101930</v>
      </c>
      <c r="G9" s="45">
        <v>1E+30</v>
      </c>
      <c r="H9" s="45">
        <v>1E+30</v>
      </c>
    </row>
    <row r="10" spans="1:8">
      <c r="B10" s="45" t="s">
        <v>287</v>
      </c>
      <c r="C10" s="45" t="s">
        <v>288</v>
      </c>
      <c r="D10" s="45">
        <v>14.84</v>
      </c>
      <c r="E10" s="45">
        <v>0</v>
      </c>
      <c r="F10" s="45">
        <v>101930</v>
      </c>
      <c r="G10" s="45">
        <v>1E+30</v>
      </c>
      <c r="H10" s="45">
        <v>1E+30</v>
      </c>
    </row>
    <row r="11" spans="1:8">
      <c r="B11" s="45" t="s">
        <v>289</v>
      </c>
      <c r="C11" s="45" t="s">
        <v>290</v>
      </c>
      <c r="D11" s="45">
        <v>27.58</v>
      </c>
      <c r="E11" s="45">
        <v>0</v>
      </c>
      <c r="F11" s="45">
        <v>101930</v>
      </c>
      <c r="G11" s="45">
        <v>1E+30</v>
      </c>
      <c r="H11" s="45">
        <v>1E+30</v>
      </c>
    </row>
    <row r="12" spans="1:8">
      <c r="B12" s="45" t="s">
        <v>291</v>
      </c>
      <c r="C12" s="45" t="s">
        <v>292</v>
      </c>
      <c r="D12" s="45">
        <v>18.149999999999999</v>
      </c>
      <c r="E12" s="45">
        <v>0</v>
      </c>
      <c r="F12" s="45">
        <v>101930</v>
      </c>
      <c r="G12" s="45">
        <v>1E+30</v>
      </c>
      <c r="H12" s="45">
        <v>1E+30</v>
      </c>
    </row>
    <row r="13" spans="1:8">
      <c r="B13" s="45" t="s">
        <v>293</v>
      </c>
      <c r="C13" s="45" t="s">
        <v>294</v>
      </c>
      <c r="D13" s="45">
        <v>8.33</v>
      </c>
      <c r="E13" s="45">
        <v>0</v>
      </c>
      <c r="F13" s="45">
        <v>101930</v>
      </c>
      <c r="G13" s="45">
        <v>1E+30</v>
      </c>
      <c r="H13" s="45">
        <v>1E+30</v>
      </c>
    </row>
    <row r="14" spans="1:8">
      <c r="B14" s="45" t="s">
        <v>295</v>
      </c>
      <c r="C14" s="45" t="s">
        <v>296</v>
      </c>
      <c r="D14" s="45">
        <v>6.01</v>
      </c>
      <c r="E14" s="45">
        <v>0</v>
      </c>
      <c r="F14" s="45">
        <v>101930</v>
      </c>
      <c r="G14" s="45">
        <v>1E+30</v>
      </c>
      <c r="H14" s="45">
        <v>1E+30</v>
      </c>
    </row>
    <row r="15" spans="1:8">
      <c r="B15" s="45" t="s">
        <v>297</v>
      </c>
      <c r="C15" s="45" t="s">
        <v>298</v>
      </c>
      <c r="D15" s="45">
        <v>6.18</v>
      </c>
      <c r="E15" s="45">
        <v>0</v>
      </c>
      <c r="F15" s="45">
        <v>101930</v>
      </c>
      <c r="G15" s="45">
        <v>1E+30</v>
      </c>
      <c r="H15" s="45">
        <v>1E+30</v>
      </c>
    </row>
    <row r="16" spans="1:8">
      <c r="B16" s="45" t="s">
        <v>299</v>
      </c>
      <c r="C16" s="45" t="s">
        <v>300</v>
      </c>
      <c r="D16" s="45">
        <v>7.81</v>
      </c>
      <c r="E16" s="45">
        <v>0</v>
      </c>
      <c r="F16" s="45">
        <v>101930</v>
      </c>
      <c r="G16" s="45">
        <v>1E+30</v>
      </c>
      <c r="H16" s="45">
        <v>1E+30</v>
      </c>
    </row>
    <row r="17" spans="2:8">
      <c r="B17" s="45" t="s">
        <v>301</v>
      </c>
      <c r="C17" s="45" t="s">
        <v>302</v>
      </c>
      <c r="D17" s="45">
        <v>10.24</v>
      </c>
      <c r="E17" s="45">
        <v>0</v>
      </c>
      <c r="F17" s="45">
        <v>101930</v>
      </c>
      <c r="G17" s="45">
        <v>1E+30</v>
      </c>
      <c r="H17" s="45">
        <v>1E+30</v>
      </c>
    </row>
    <row r="18" spans="2:8">
      <c r="B18" s="45" t="s">
        <v>303</v>
      </c>
      <c r="C18" s="45" t="s">
        <v>304</v>
      </c>
      <c r="D18" s="45">
        <v>13.91</v>
      </c>
      <c r="E18" s="45">
        <v>0</v>
      </c>
      <c r="F18" s="45">
        <v>101930</v>
      </c>
      <c r="G18" s="45">
        <v>1E+30</v>
      </c>
      <c r="H18" s="45">
        <v>1E+30</v>
      </c>
    </row>
    <row r="19" spans="2:8">
      <c r="B19" s="45" t="s">
        <v>305</v>
      </c>
      <c r="C19" s="45" t="s">
        <v>306</v>
      </c>
      <c r="D19" s="45">
        <v>17.78</v>
      </c>
      <c r="E19" s="45">
        <v>0</v>
      </c>
      <c r="F19" s="45">
        <v>101930</v>
      </c>
      <c r="G19" s="45">
        <v>1E+30</v>
      </c>
      <c r="H19" s="45">
        <v>1E+30</v>
      </c>
    </row>
    <row r="20" spans="2:8">
      <c r="B20" s="45" t="s">
        <v>307</v>
      </c>
      <c r="C20" s="45" t="s">
        <v>308</v>
      </c>
      <c r="D20" s="45">
        <v>19.7</v>
      </c>
      <c r="E20" s="45">
        <v>0</v>
      </c>
      <c r="F20" s="45">
        <v>101930</v>
      </c>
      <c r="G20" s="45">
        <v>1E+30</v>
      </c>
      <c r="H20" s="45">
        <v>1E+30</v>
      </c>
    </row>
    <row r="21" spans="2:8">
      <c r="B21" s="45" t="s">
        <v>309</v>
      </c>
      <c r="C21" s="45" t="s">
        <v>285</v>
      </c>
      <c r="D21" s="45">
        <v>0</v>
      </c>
      <c r="E21" s="45">
        <v>0</v>
      </c>
      <c r="F21" s="45">
        <v>124370</v>
      </c>
      <c r="G21" s="45">
        <v>1E+30</v>
      </c>
      <c r="H21" s="45">
        <v>1E+30</v>
      </c>
    </row>
    <row r="22" spans="2:8">
      <c r="B22" s="45" t="s">
        <v>310</v>
      </c>
      <c r="C22" s="45" t="s">
        <v>288</v>
      </c>
      <c r="D22" s="45">
        <v>0</v>
      </c>
      <c r="E22" s="45">
        <v>0</v>
      </c>
      <c r="F22" s="45">
        <v>124370</v>
      </c>
      <c r="G22" s="45">
        <v>1E+30</v>
      </c>
      <c r="H22" s="45">
        <v>1E+30</v>
      </c>
    </row>
    <row r="23" spans="2:8">
      <c r="B23" s="45" t="s">
        <v>311</v>
      </c>
      <c r="C23" s="45" t="s">
        <v>290</v>
      </c>
      <c r="D23" s="45">
        <v>0</v>
      </c>
      <c r="E23" s="45">
        <v>0</v>
      </c>
      <c r="F23" s="45">
        <v>124370</v>
      </c>
      <c r="G23" s="45">
        <v>1E+30</v>
      </c>
      <c r="H23" s="45">
        <v>1E+30</v>
      </c>
    </row>
    <row r="24" spans="2:8">
      <c r="B24" s="45" t="s">
        <v>312</v>
      </c>
      <c r="C24" s="45" t="s">
        <v>292</v>
      </c>
      <c r="D24" s="45">
        <v>0.54</v>
      </c>
      <c r="E24" s="45">
        <v>0</v>
      </c>
      <c r="F24" s="45">
        <v>124370</v>
      </c>
      <c r="G24" s="45">
        <v>1E+30</v>
      </c>
      <c r="H24" s="45">
        <v>1E+30</v>
      </c>
    </row>
    <row r="25" spans="2:8">
      <c r="B25" s="45" t="s">
        <v>313</v>
      </c>
      <c r="C25" s="45" t="s">
        <v>294</v>
      </c>
      <c r="D25" s="45">
        <v>5.92</v>
      </c>
      <c r="E25" s="45">
        <v>0</v>
      </c>
      <c r="F25" s="45">
        <v>124370</v>
      </c>
      <c r="G25" s="45">
        <v>1E+30</v>
      </c>
      <c r="H25" s="45">
        <v>1E+30</v>
      </c>
    </row>
    <row r="26" spans="2:8">
      <c r="B26" s="45" t="s">
        <v>314</v>
      </c>
      <c r="C26" s="45" t="s">
        <v>296</v>
      </c>
      <c r="D26" s="45">
        <v>11.49</v>
      </c>
      <c r="E26" s="45">
        <v>0</v>
      </c>
      <c r="F26" s="45">
        <v>124370</v>
      </c>
      <c r="G26" s="45">
        <v>1E+30</v>
      </c>
      <c r="H26" s="45">
        <v>1E+30</v>
      </c>
    </row>
    <row r="27" spans="2:8">
      <c r="B27" s="45" t="s">
        <v>315</v>
      </c>
      <c r="C27" s="45" t="s">
        <v>298</v>
      </c>
      <c r="D27" s="45">
        <v>10.67</v>
      </c>
      <c r="E27" s="45">
        <v>0</v>
      </c>
      <c r="F27" s="45">
        <v>124370</v>
      </c>
      <c r="G27" s="45">
        <v>1E+30</v>
      </c>
      <c r="H27" s="45">
        <v>1E+30</v>
      </c>
    </row>
    <row r="28" spans="2:8">
      <c r="B28" s="45" t="s">
        <v>316</v>
      </c>
      <c r="C28" s="45" t="s">
        <v>300</v>
      </c>
      <c r="D28" s="45">
        <v>10.17</v>
      </c>
      <c r="E28" s="45">
        <v>0</v>
      </c>
      <c r="F28" s="45">
        <v>124370</v>
      </c>
      <c r="G28" s="45">
        <v>1E+30</v>
      </c>
      <c r="H28" s="45">
        <v>1E+30</v>
      </c>
    </row>
    <row r="29" spans="2:8">
      <c r="B29" s="45" t="s">
        <v>317</v>
      </c>
      <c r="C29" s="45" t="s">
        <v>302</v>
      </c>
      <c r="D29" s="45">
        <v>8.07</v>
      </c>
      <c r="E29" s="45">
        <v>0</v>
      </c>
      <c r="F29" s="45">
        <v>124370</v>
      </c>
      <c r="G29" s="45">
        <v>1E+30</v>
      </c>
      <c r="H29" s="45">
        <v>1E+30</v>
      </c>
    </row>
    <row r="30" spans="2:8">
      <c r="B30" s="45" t="s">
        <v>318</v>
      </c>
      <c r="C30" s="45" t="s">
        <v>304</v>
      </c>
      <c r="D30" s="45">
        <v>7.47</v>
      </c>
      <c r="E30" s="45">
        <v>0</v>
      </c>
      <c r="F30" s="45">
        <v>124370</v>
      </c>
      <c r="G30" s="45">
        <v>1E+30</v>
      </c>
      <c r="H30" s="45">
        <v>1E+30</v>
      </c>
    </row>
    <row r="31" spans="2:8">
      <c r="B31" s="45" t="s">
        <v>319</v>
      </c>
      <c r="C31" s="45" t="s">
        <v>306</v>
      </c>
      <c r="D31" s="45">
        <v>4.82</v>
      </c>
      <c r="E31" s="45">
        <v>0</v>
      </c>
      <c r="F31" s="45">
        <v>124370</v>
      </c>
      <c r="G31" s="45">
        <v>1E+30</v>
      </c>
      <c r="H31" s="45">
        <v>1E+30</v>
      </c>
    </row>
    <row r="32" spans="2:8">
      <c r="B32" s="45" t="s">
        <v>320</v>
      </c>
      <c r="C32" s="45" t="s">
        <v>308</v>
      </c>
      <c r="D32" s="45">
        <v>0.91</v>
      </c>
      <c r="E32" s="45">
        <v>0</v>
      </c>
      <c r="F32" s="45">
        <v>124370</v>
      </c>
      <c r="G32" s="45">
        <v>1E+30</v>
      </c>
      <c r="H32" s="45">
        <v>1E+30</v>
      </c>
    </row>
    <row r="33" spans="2:8">
      <c r="B33" s="45" t="s">
        <v>321</v>
      </c>
      <c r="C33" s="45" t="s">
        <v>285</v>
      </c>
      <c r="D33" s="45">
        <v>0.42</v>
      </c>
      <c r="E33" s="45">
        <v>0</v>
      </c>
      <c r="F33" s="45">
        <v>159420</v>
      </c>
      <c r="G33" s="45">
        <v>1E+30</v>
      </c>
      <c r="H33" s="45">
        <v>1E+30</v>
      </c>
    </row>
    <row r="34" spans="2:8">
      <c r="B34" s="45" t="s">
        <v>322</v>
      </c>
      <c r="C34" s="45" t="s">
        <v>288</v>
      </c>
      <c r="D34" s="45">
        <v>0.4</v>
      </c>
      <c r="E34" s="45">
        <v>0</v>
      </c>
      <c r="F34" s="45">
        <v>159420</v>
      </c>
      <c r="G34" s="45">
        <v>1E+30</v>
      </c>
      <c r="H34" s="45">
        <v>1E+30</v>
      </c>
    </row>
    <row r="35" spans="2:8">
      <c r="B35" s="45" t="s">
        <v>323</v>
      </c>
      <c r="C35" s="45" t="s">
        <v>290</v>
      </c>
      <c r="D35" s="45">
        <v>0.64</v>
      </c>
      <c r="E35" s="45">
        <v>0</v>
      </c>
      <c r="F35" s="45">
        <v>159420</v>
      </c>
      <c r="G35" s="45">
        <v>1E+30</v>
      </c>
      <c r="H35" s="45">
        <v>1E+30</v>
      </c>
    </row>
    <row r="36" spans="2:8">
      <c r="B36" s="45" t="s">
        <v>324</v>
      </c>
      <c r="C36" s="45" t="s">
        <v>292</v>
      </c>
      <c r="D36" s="45">
        <v>1.03</v>
      </c>
      <c r="E36" s="45">
        <v>0</v>
      </c>
      <c r="F36" s="45">
        <v>159420</v>
      </c>
      <c r="G36" s="45">
        <v>1E+30</v>
      </c>
      <c r="H36" s="45">
        <v>1E+30</v>
      </c>
    </row>
    <row r="37" spans="2:8">
      <c r="B37" s="45" t="s">
        <v>325</v>
      </c>
      <c r="C37" s="45" t="s">
        <v>294</v>
      </c>
      <c r="D37" s="45">
        <v>1.99</v>
      </c>
      <c r="E37" s="45">
        <v>0</v>
      </c>
      <c r="F37" s="45">
        <v>159420</v>
      </c>
      <c r="G37" s="45">
        <v>1E+30</v>
      </c>
      <c r="H37" s="45">
        <v>1E+30</v>
      </c>
    </row>
    <row r="38" spans="2:8">
      <c r="B38" s="45" t="s">
        <v>326</v>
      </c>
      <c r="C38" s="45" t="s">
        <v>296</v>
      </c>
      <c r="D38" s="45">
        <v>2.0499999999999998</v>
      </c>
      <c r="E38" s="45">
        <v>0</v>
      </c>
      <c r="F38" s="45">
        <v>159420</v>
      </c>
      <c r="G38" s="45">
        <v>1E+30</v>
      </c>
      <c r="H38" s="45">
        <v>1E+30</v>
      </c>
    </row>
    <row r="39" spans="2:8">
      <c r="B39" s="45" t="s">
        <v>327</v>
      </c>
      <c r="C39" s="45" t="s">
        <v>298</v>
      </c>
      <c r="D39" s="45">
        <v>1.93</v>
      </c>
      <c r="E39" s="45">
        <v>0</v>
      </c>
      <c r="F39" s="45">
        <v>159420</v>
      </c>
      <c r="G39" s="45">
        <v>1E+30</v>
      </c>
      <c r="H39" s="45">
        <v>1E+30</v>
      </c>
    </row>
    <row r="40" spans="2:8">
      <c r="B40" s="45" t="s">
        <v>328</v>
      </c>
      <c r="C40" s="45" t="s">
        <v>300</v>
      </c>
      <c r="D40" s="45">
        <v>1.99</v>
      </c>
      <c r="E40" s="45">
        <v>0</v>
      </c>
      <c r="F40" s="45">
        <v>159420</v>
      </c>
      <c r="G40" s="45">
        <v>1E+30</v>
      </c>
      <c r="H40" s="45">
        <v>1E+30</v>
      </c>
    </row>
    <row r="41" spans="2:8">
      <c r="B41" s="45" t="s">
        <v>329</v>
      </c>
      <c r="C41" s="45" t="s">
        <v>302</v>
      </c>
      <c r="D41" s="45">
        <v>1.41</v>
      </c>
      <c r="E41" s="45">
        <v>0</v>
      </c>
      <c r="F41" s="45">
        <v>159420</v>
      </c>
      <c r="G41" s="45">
        <v>1E+30</v>
      </c>
      <c r="H41" s="45">
        <v>1E+30</v>
      </c>
    </row>
    <row r="42" spans="2:8">
      <c r="B42" s="45" t="s">
        <v>330</v>
      </c>
      <c r="C42" s="45" t="s">
        <v>304</v>
      </c>
      <c r="D42" s="45">
        <v>0.69</v>
      </c>
      <c r="E42" s="45">
        <v>0</v>
      </c>
      <c r="F42" s="45">
        <v>159420</v>
      </c>
      <c r="G42" s="45">
        <v>1E+30</v>
      </c>
      <c r="H42" s="45">
        <v>1E+30</v>
      </c>
    </row>
    <row r="43" spans="2:8">
      <c r="B43" s="45" t="s">
        <v>331</v>
      </c>
      <c r="C43" s="45" t="s">
        <v>306</v>
      </c>
      <c r="D43" s="45">
        <v>0.67</v>
      </c>
      <c r="E43" s="45">
        <v>0</v>
      </c>
      <c r="F43" s="45">
        <v>159420</v>
      </c>
      <c r="G43" s="45">
        <v>1E+30</v>
      </c>
      <c r="H43" s="45">
        <v>1E+30</v>
      </c>
    </row>
    <row r="44" spans="2:8">
      <c r="B44" s="45" t="s">
        <v>332</v>
      </c>
      <c r="C44" s="45" t="s">
        <v>308</v>
      </c>
      <c r="D44" s="45">
        <v>0.62</v>
      </c>
      <c r="E44" s="45">
        <v>0</v>
      </c>
      <c r="F44" s="45">
        <v>159420</v>
      </c>
      <c r="G44" s="45">
        <v>1E+30</v>
      </c>
      <c r="H44" s="45">
        <v>1E+30</v>
      </c>
    </row>
    <row r="45" spans="2:8">
      <c r="B45" s="45" t="s">
        <v>333</v>
      </c>
      <c r="C45" s="45" t="s">
        <v>285</v>
      </c>
      <c r="D45" s="45">
        <v>284.76</v>
      </c>
      <c r="E45" s="45">
        <v>0</v>
      </c>
      <c r="F45" s="45">
        <v>71900</v>
      </c>
      <c r="G45" s="45">
        <v>1375599.9999999995</v>
      </c>
      <c r="H45" s="45">
        <v>1E+30</v>
      </c>
    </row>
    <row r="46" spans="2:8">
      <c r="B46" s="45" t="s">
        <v>334</v>
      </c>
      <c r="C46" s="45" t="s">
        <v>288</v>
      </c>
      <c r="D46" s="45">
        <v>275.95170984455956</v>
      </c>
      <c r="E46" s="45">
        <v>0</v>
      </c>
      <c r="F46" s="45">
        <v>70730</v>
      </c>
      <c r="G46" s="45">
        <v>1376769.9999999995</v>
      </c>
      <c r="H46" s="45">
        <v>1E+30</v>
      </c>
    </row>
    <row r="47" spans="2:8">
      <c r="B47" s="45" t="s">
        <v>335</v>
      </c>
      <c r="C47" s="45" t="s">
        <v>290</v>
      </c>
      <c r="D47" s="45">
        <v>256.75409326424875</v>
      </c>
      <c r="E47" s="45">
        <v>0</v>
      </c>
      <c r="F47" s="45">
        <v>70720</v>
      </c>
      <c r="G47" s="45">
        <v>1376780.0000000023</v>
      </c>
      <c r="H47" s="45">
        <v>1E+30</v>
      </c>
    </row>
    <row r="48" spans="2:8">
      <c r="B48" s="45" t="s">
        <v>336</v>
      </c>
      <c r="C48" s="45" t="s">
        <v>292</v>
      </c>
      <c r="D48" s="45">
        <v>199.9691191709845</v>
      </c>
      <c r="E48" s="45">
        <v>0</v>
      </c>
      <c r="F48" s="45">
        <v>70470</v>
      </c>
      <c r="G48" s="45">
        <v>1377030.000000004</v>
      </c>
      <c r="H48" s="45">
        <v>1E+30</v>
      </c>
    </row>
    <row r="49" spans="2:8">
      <c r="B49" s="45" t="s">
        <v>337</v>
      </c>
      <c r="C49" s="45" t="s">
        <v>294</v>
      </c>
      <c r="D49" s="45">
        <v>217.95689119170984</v>
      </c>
      <c r="E49" s="45">
        <v>0</v>
      </c>
      <c r="F49" s="45">
        <v>85650</v>
      </c>
      <c r="G49" s="45">
        <v>1361850.0000000023</v>
      </c>
      <c r="H49" s="45">
        <v>1E+30</v>
      </c>
    </row>
    <row r="50" spans="2:8">
      <c r="B50" s="45" t="s">
        <v>338</v>
      </c>
      <c r="C50" s="45" t="s">
        <v>296</v>
      </c>
      <c r="D50" s="45">
        <v>232.26347150259073</v>
      </c>
      <c r="E50" s="45">
        <v>0</v>
      </c>
      <c r="F50" s="45">
        <v>97070</v>
      </c>
      <c r="G50" s="45">
        <v>1350430.0000000005</v>
      </c>
      <c r="H50" s="45">
        <v>1E+30</v>
      </c>
    </row>
    <row r="51" spans="2:8">
      <c r="B51" s="45" t="s">
        <v>339</v>
      </c>
      <c r="C51" s="45" t="s">
        <v>298</v>
      </c>
      <c r="D51" s="45">
        <v>247.54124352331613</v>
      </c>
      <c r="E51" s="45">
        <v>0</v>
      </c>
      <c r="F51" s="45">
        <v>93790</v>
      </c>
      <c r="G51" s="45">
        <v>1353710.0000000005</v>
      </c>
      <c r="H51" s="45">
        <v>1E+30</v>
      </c>
    </row>
    <row r="52" spans="2:8">
      <c r="B52" s="45" t="s">
        <v>340</v>
      </c>
      <c r="C52" s="45" t="s">
        <v>300</v>
      </c>
      <c r="D52" s="45">
        <v>217.33569948186528</v>
      </c>
      <c r="E52" s="45">
        <v>0</v>
      </c>
      <c r="F52" s="45">
        <v>82330</v>
      </c>
      <c r="G52" s="45">
        <v>1365169.9999999986</v>
      </c>
      <c r="H52" s="45">
        <v>1E+30</v>
      </c>
    </row>
    <row r="53" spans="2:8">
      <c r="B53" s="45" t="s">
        <v>341</v>
      </c>
      <c r="C53" s="45" t="s">
        <v>302</v>
      </c>
      <c r="D53" s="45">
        <v>206.18673575129537</v>
      </c>
      <c r="E53" s="45">
        <v>0</v>
      </c>
      <c r="F53" s="45">
        <v>76310</v>
      </c>
      <c r="G53" s="45">
        <v>1371190.0000000005</v>
      </c>
      <c r="H53" s="45">
        <v>1E+30</v>
      </c>
    </row>
    <row r="54" spans="2:8">
      <c r="B54" s="45" t="s">
        <v>342</v>
      </c>
      <c r="C54" s="45" t="s">
        <v>304</v>
      </c>
      <c r="D54" s="45">
        <v>234.92481865284978</v>
      </c>
      <c r="E54" s="45">
        <v>0</v>
      </c>
      <c r="F54" s="45">
        <v>65670</v>
      </c>
      <c r="G54" s="45">
        <v>1381830.0000000005</v>
      </c>
      <c r="H54" s="45">
        <v>1E+30</v>
      </c>
    </row>
    <row r="55" spans="2:8">
      <c r="B55" s="45" t="s">
        <v>343</v>
      </c>
      <c r="C55" s="45" t="s">
        <v>306</v>
      </c>
      <c r="D55" s="45">
        <v>257.55901554404153</v>
      </c>
      <c r="E55" s="45">
        <v>0</v>
      </c>
      <c r="F55" s="45">
        <v>61670</v>
      </c>
      <c r="G55" s="45">
        <v>1385830.0000000005</v>
      </c>
      <c r="H55" s="45">
        <v>1E+30</v>
      </c>
    </row>
    <row r="56" spans="2:8">
      <c r="B56" s="45" t="s">
        <v>344</v>
      </c>
      <c r="C56" s="45" t="s">
        <v>308</v>
      </c>
      <c r="D56" s="45">
        <v>278.77</v>
      </c>
      <c r="E56" s="45">
        <v>0</v>
      </c>
      <c r="F56" s="45">
        <v>56630</v>
      </c>
      <c r="G56" s="45">
        <v>1390870.0000000005</v>
      </c>
      <c r="H56" s="45">
        <v>1E+30</v>
      </c>
    </row>
    <row r="57" spans="2:8">
      <c r="B57" s="45" t="s">
        <v>345</v>
      </c>
      <c r="C57" s="45" t="s">
        <v>285</v>
      </c>
      <c r="D57" s="45">
        <v>43.73152202184523</v>
      </c>
      <c r="E57" s="45">
        <v>0</v>
      </c>
      <c r="F57" s="45">
        <v>1388.890000000596</v>
      </c>
      <c r="G57" s="45">
        <v>1E+30</v>
      </c>
      <c r="H57" s="45">
        <v>1388.890000000596</v>
      </c>
    </row>
    <row r="58" spans="2:8">
      <c r="B58" s="45" t="s">
        <v>346</v>
      </c>
      <c r="C58" s="45" t="s">
        <v>288</v>
      </c>
      <c r="D58" s="45">
        <v>45.017143524919135</v>
      </c>
      <c r="E58" s="45">
        <v>0</v>
      </c>
      <c r="F58" s="45">
        <v>1388.8899999996647</v>
      </c>
      <c r="G58" s="45">
        <v>1E+30</v>
      </c>
      <c r="H58" s="45">
        <v>1388.8899999996647</v>
      </c>
    </row>
    <row r="59" spans="2:8">
      <c r="B59" s="45" t="s">
        <v>347</v>
      </c>
      <c r="C59" s="45" t="s">
        <v>290</v>
      </c>
      <c r="D59" s="45">
        <v>50.55435326597533</v>
      </c>
      <c r="E59" s="45">
        <v>0</v>
      </c>
      <c r="F59" s="45">
        <v>1388.8899999996647</v>
      </c>
      <c r="G59" s="45">
        <v>1E+30</v>
      </c>
      <c r="H59" s="45">
        <v>1388.8899999996647</v>
      </c>
    </row>
    <row r="60" spans="2:8">
      <c r="B60" s="45" t="s">
        <v>348</v>
      </c>
      <c r="C60" s="45" t="s">
        <v>292</v>
      </c>
      <c r="D60" s="45">
        <v>43.050760614089043</v>
      </c>
      <c r="E60" s="45">
        <v>0</v>
      </c>
      <c r="F60" s="45">
        <v>1388.890000000596</v>
      </c>
      <c r="G60" s="45">
        <v>1E+30</v>
      </c>
      <c r="H60" s="45">
        <v>1388.890000000596</v>
      </c>
    </row>
    <row r="61" spans="2:8">
      <c r="B61" s="45" t="s">
        <v>349</v>
      </c>
      <c r="C61" s="45" t="s">
        <v>294</v>
      </c>
      <c r="D61" s="45">
        <v>42.619605020505354</v>
      </c>
      <c r="E61" s="45">
        <v>0</v>
      </c>
      <c r="F61" s="45">
        <v>1388.8899999996647</v>
      </c>
      <c r="G61" s="45">
        <v>1E+30</v>
      </c>
      <c r="H61" s="45">
        <v>1388.8899999996647</v>
      </c>
    </row>
    <row r="62" spans="2:8">
      <c r="B62" s="45" t="s">
        <v>350</v>
      </c>
      <c r="C62" s="45" t="s">
        <v>296</v>
      </c>
      <c r="D62" s="45">
        <v>43.296487967552999</v>
      </c>
      <c r="E62" s="45">
        <v>0</v>
      </c>
      <c r="F62" s="45">
        <v>1388.8899999996647</v>
      </c>
      <c r="G62" s="45">
        <v>1E+30</v>
      </c>
      <c r="H62" s="45">
        <v>1388.8899999996647</v>
      </c>
    </row>
    <row r="63" spans="2:8">
      <c r="B63" s="45" t="s">
        <v>351</v>
      </c>
      <c r="C63" s="45" t="s">
        <v>298</v>
      </c>
      <c r="D63" s="45">
        <v>42.432940341478229</v>
      </c>
      <c r="E63" s="45">
        <v>0</v>
      </c>
      <c r="F63" s="45">
        <v>1388.890000000596</v>
      </c>
      <c r="G63" s="45">
        <v>1E+30</v>
      </c>
      <c r="H63" s="45">
        <v>1388.890000000596</v>
      </c>
    </row>
    <row r="64" spans="2:8">
      <c r="B64" s="45" t="s">
        <v>352</v>
      </c>
      <c r="C64" s="45" t="s">
        <v>300</v>
      </c>
      <c r="D64" s="45">
        <v>42.218665219869536</v>
      </c>
      <c r="E64" s="45">
        <v>0</v>
      </c>
      <c r="F64" s="45">
        <v>1388.890000000596</v>
      </c>
      <c r="G64" s="45">
        <v>1E+30</v>
      </c>
      <c r="H64" s="45">
        <v>1388.890000000596</v>
      </c>
    </row>
    <row r="65" spans="2:8">
      <c r="B65" s="45" t="s">
        <v>353</v>
      </c>
      <c r="C65" s="45" t="s">
        <v>302</v>
      </c>
      <c r="D65" s="45">
        <v>42.191476392982509</v>
      </c>
      <c r="E65" s="45">
        <v>0</v>
      </c>
      <c r="F65" s="45">
        <v>1388.8899999996647</v>
      </c>
      <c r="G65" s="45">
        <v>1E+30</v>
      </c>
      <c r="H65" s="45">
        <v>1388.8899999996647</v>
      </c>
    </row>
    <row r="66" spans="2:8">
      <c r="B66" s="45" t="s">
        <v>354</v>
      </c>
      <c r="C66" s="45" t="s">
        <v>304</v>
      </c>
      <c r="D66" s="45">
        <v>42.758040682126243</v>
      </c>
      <c r="E66" s="45">
        <v>0</v>
      </c>
      <c r="F66" s="45">
        <v>1388.8899999996647</v>
      </c>
      <c r="G66" s="45">
        <v>1E+30</v>
      </c>
      <c r="H66" s="45">
        <v>1388.8899999996647</v>
      </c>
    </row>
    <row r="67" spans="2:8">
      <c r="B67" s="45" t="s">
        <v>355</v>
      </c>
      <c r="C67" s="45" t="s">
        <v>306</v>
      </c>
      <c r="D67" s="45">
        <v>44.175761079367398</v>
      </c>
      <c r="E67" s="45">
        <v>0</v>
      </c>
      <c r="F67" s="45">
        <v>1388.8899999996647</v>
      </c>
      <c r="G67" s="45">
        <v>1E+30</v>
      </c>
      <c r="H67" s="45">
        <v>1388.8899999996647</v>
      </c>
    </row>
    <row r="68" spans="2:8">
      <c r="B68" s="45" t="s">
        <v>356</v>
      </c>
      <c r="C68" s="45" t="s">
        <v>308</v>
      </c>
      <c r="D68" s="45">
        <v>45.111472099393971</v>
      </c>
      <c r="E68" s="45">
        <v>0</v>
      </c>
      <c r="F68" s="45">
        <v>1388.8899999996647</v>
      </c>
      <c r="G68" s="45">
        <v>1E+30</v>
      </c>
      <c r="H68" s="45">
        <v>1388.8899999996647</v>
      </c>
    </row>
    <row r="69" spans="2:8">
      <c r="B69" s="45" t="s">
        <v>357</v>
      </c>
      <c r="C69" s="45" t="s">
        <v>285</v>
      </c>
      <c r="D69" s="45">
        <v>23.5</v>
      </c>
      <c r="E69" s="45">
        <v>0</v>
      </c>
      <c r="F69" s="45">
        <v>1499999.9999999991</v>
      </c>
      <c r="G69" s="45">
        <v>1E+30</v>
      </c>
      <c r="H69" s="45">
        <v>1425492.2279792738</v>
      </c>
    </row>
    <row r="70" spans="2:8">
      <c r="B70" s="45" t="s">
        <v>358</v>
      </c>
      <c r="C70" s="45" t="s">
        <v>288</v>
      </c>
      <c r="D70" s="45">
        <v>0</v>
      </c>
      <c r="E70" s="45">
        <v>1426704.6632124344</v>
      </c>
      <c r="F70" s="45">
        <v>1499999.9999999991</v>
      </c>
      <c r="G70" s="45">
        <v>1E+30</v>
      </c>
      <c r="H70" s="45">
        <v>1426704.6632124344</v>
      </c>
    </row>
    <row r="71" spans="2:8">
      <c r="B71" s="45" t="s">
        <v>359</v>
      </c>
      <c r="C71" s="45" t="s">
        <v>290</v>
      </c>
      <c r="D71" s="45">
        <v>0</v>
      </c>
      <c r="E71" s="45">
        <v>1426715.0259067377</v>
      </c>
      <c r="F71" s="45">
        <v>1500000.0000000019</v>
      </c>
      <c r="G71" s="45">
        <v>1E+30</v>
      </c>
      <c r="H71" s="45">
        <v>1426715.0259067377</v>
      </c>
    </row>
    <row r="72" spans="2:8">
      <c r="B72" s="45" t="s">
        <v>360</v>
      </c>
      <c r="C72" s="45" t="s">
        <v>292</v>
      </c>
      <c r="D72" s="45">
        <v>0</v>
      </c>
      <c r="E72" s="45">
        <v>1426974.0932642524</v>
      </c>
      <c r="F72" s="45">
        <v>1500000.0000000037</v>
      </c>
      <c r="G72" s="45">
        <v>1E+30</v>
      </c>
      <c r="H72" s="45">
        <v>1426974.0932642524</v>
      </c>
    </row>
    <row r="73" spans="2:8">
      <c r="B73" s="45" t="s">
        <v>361</v>
      </c>
      <c r="C73" s="45" t="s">
        <v>294</v>
      </c>
      <c r="D73" s="45">
        <v>0</v>
      </c>
      <c r="E73" s="45">
        <v>1411243.5233160642</v>
      </c>
      <c r="F73" s="45">
        <v>1500000.0000000019</v>
      </c>
      <c r="G73" s="45">
        <v>1E+30</v>
      </c>
      <c r="H73" s="45">
        <v>1411243.5233160642</v>
      </c>
    </row>
    <row r="74" spans="2:8">
      <c r="B74" s="45" t="s">
        <v>362</v>
      </c>
      <c r="C74" s="45" t="s">
        <v>296</v>
      </c>
      <c r="D74" s="45">
        <v>0</v>
      </c>
      <c r="E74" s="45">
        <v>1399409.3264248704</v>
      </c>
      <c r="F74" s="45">
        <v>1500000</v>
      </c>
      <c r="G74" s="45">
        <v>1E+30</v>
      </c>
      <c r="H74" s="45">
        <v>1399409.3264248704</v>
      </c>
    </row>
    <row r="75" spans="2:8">
      <c r="B75" s="45" t="s">
        <v>363</v>
      </c>
      <c r="C75" s="45" t="s">
        <v>298</v>
      </c>
      <c r="D75" s="45">
        <v>0</v>
      </c>
      <c r="E75" s="45">
        <v>1402808.2901554406</v>
      </c>
      <c r="F75" s="45">
        <v>1500000</v>
      </c>
      <c r="G75" s="45">
        <v>1E+30</v>
      </c>
      <c r="H75" s="45">
        <v>1402808.2901554406</v>
      </c>
    </row>
    <row r="76" spans="2:8">
      <c r="B76" s="45" t="s">
        <v>364</v>
      </c>
      <c r="C76" s="45" t="s">
        <v>300</v>
      </c>
      <c r="D76" s="45">
        <v>0</v>
      </c>
      <c r="E76" s="45">
        <v>1414683.9378238323</v>
      </c>
      <c r="F76" s="45">
        <v>1499999.9999999981</v>
      </c>
      <c r="G76" s="45">
        <v>1E+30</v>
      </c>
      <c r="H76" s="45">
        <v>1414683.9378238323</v>
      </c>
    </row>
    <row r="77" spans="2:8">
      <c r="B77" s="45" t="s">
        <v>365</v>
      </c>
      <c r="C77" s="45" t="s">
        <v>302</v>
      </c>
      <c r="D77" s="45">
        <v>0</v>
      </c>
      <c r="E77" s="45">
        <v>1420922.2797927461</v>
      </c>
      <c r="F77" s="45">
        <v>1500000</v>
      </c>
      <c r="G77" s="45">
        <v>1E+30</v>
      </c>
      <c r="H77" s="45">
        <v>1420922.2797927461</v>
      </c>
    </row>
    <row r="78" spans="2:8">
      <c r="B78" s="45" t="s">
        <v>366</v>
      </c>
      <c r="C78" s="45" t="s">
        <v>304</v>
      </c>
      <c r="D78" s="45">
        <v>0</v>
      </c>
      <c r="E78" s="45">
        <v>1431948.1865284974</v>
      </c>
      <c r="F78" s="45">
        <v>1500000</v>
      </c>
      <c r="G78" s="45">
        <v>1E+30</v>
      </c>
      <c r="H78" s="45">
        <v>1431948.1865284974</v>
      </c>
    </row>
    <row r="79" spans="2:8">
      <c r="B79" s="45" t="s">
        <v>367</v>
      </c>
      <c r="C79" s="45" t="s">
        <v>306</v>
      </c>
      <c r="D79" s="45">
        <v>0</v>
      </c>
      <c r="E79" s="45">
        <v>1436093.2642487048</v>
      </c>
      <c r="F79" s="45">
        <v>1500000</v>
      </c>
      <c r="G79" s="45">
        <v>1E+30</v>
      </c>
      <c r="H79" s="45">
        <v>1436093.2642487048</v>
      </c>
    </row>
    <row r="80" spans="2:8" ht="15" thickBot="1">
      <c r="B80" s="43" t="s">
        <v>368</v>
      </c>
      <c r="C80" s="43" t="s">
        <v>308</v>
      </c>
      <c r="D80" s="43">
        <v>17.500000000000057</v>
      </c>
      <c r="E80" s="43">
        <v>0</v>
      </c>
      <c r="F80" s="43">
        <v>1500000</v>
      </c>
      <c r="G80" s="43">
        <v>1E+30</v>
      </c>
      <c r="H80" s="43">
        <v>1441316.0621761659</v>
      </c>
    </row>
    <row r="82" spans="1:8" ht="15" thickBot="1">
      <c r="A82" t="s">
        <v>369</v>
      </c>
    </row>
    <row r="83" spans="1:8">
      <c r="B83" s="46"/>
      <c r="C83" s="46"/>
      <c r="D83" s="46" t="s">
        <v>522</v>
      </c>
      <c r="E83" s="46" t="s">
        <v>530</v>
      </c>
      <c r="F83" s="46" t="s">
        <v>531</v>
      </c>
      <c r="G83" s="46" t="s">
        <v>525</v>
      </c>
      <c r="H83" s="46" t="s">
        <v>525</v>
      </c>
    </row>
    <row r="84" spans="1:8" ht="15" thickBot="1">
      <c r="B84" s="47" t="s">
        <v>276</v>
      </c>
      <c r="C84" s="47" t="s">
        <v>277</v>
      </c>
      <c r="D84" s="47" t="s">
        <v>27</v>
      </c>
      <c r="E84" s="47" t="s">
        <v>532</v>
      </c>
      <c r="F84" s="47" t="s">
        <v>533</v>
      </c>
      <c r="G84" s="47" t="s">
        <v>528</v>
      </c>
      <c r="H84" s="47" t="s">
        <v>529</v>
      </c>
    </row>
    <row r="85" spans="1:8">
      <c r="B85" s="45" t="s">
        <v>374</v>
      </c>
      <c r="C85" s="45" t="s">
        <v>285</v>
      </c>
      <c r="D85" s="45">
        <v>313</v>
      </c>
      <c r="E85" s="45">
        <v>1499999.9999999998</v>
      </c>
      <c r="F85" s="45">
        <v>313</v>
      </c>
      <c r="G85" s="45">
        <v>1E+30</v>
      </c>
      <c r="H85" s="45">
        <v>23.499999999999989</v>
      </c>
    </row>
    <row r="86" spans="1:8">
      <c r="B86" s="45" t="s">
        <v>377</v>
      </c>
      <c r="C86" s="45" t="s">
        <v>288</v>
      </c>
      <c r="D86" s="45">
        <v>281</v>
      </c>
      <c r="E86" s="45">
        <v>73295.336787564913</v>
      </c>
      <c r="F86" s="45">
        <v>281</v>
      </c>
      <c r="G86" s="45">
        <v>8.5000000000000711</v>
      </c>
      <c r="H86" s="45">
        <v>266.29339999999996</v>
      </c>
    </row>
    <row r="87" spans="1:8">
      <c r="B87" s="45" t="s">
        <v>379</v>
      </c>
      <c r="C87" s="45" t="s">
        <v>290</v>
      </c>
      <c r="D87" s="45">
        <v>275</v>
      </c>
      <c r="E87" s="45">
        <v>73284.974093264202</v>
      </c>
      <c r="F87" s="45">
        <v>275</v>
      </c>
      <c r="G87" s="45">
        <v>14.49999999999998</v>
      </c>
      <c r="H87" s="45">
        <v>247.76770000000002</v>
      </c>
    </row>
    <row r="88" spans="1:8">
      <c r="B88" s="45" t="s">
        <v>381</v>
      </c>
      <c r="C88" s="45" t="s">
        <v>292</v>
      </c>
      <c r="D88" s="45">
        <v>212.00000000000003</v>
      </c>
      <c r="E88" s="45">
        <v>73025.906735751545</v>
      </c>
      <c r="F88" s="45">
        <v>212</v>
      </c>
      <c r="G88" s="45">
        <v>77.499999999999972</v>
      </c>
      <c r="H88" s="45">
        <v>192.97020000000001</v>
      </c>
    </row>
    <row r="89" spans="1:8">
      <c r="B89" s="45" t="s">
        <v>383</v>
      </c>
      <c r="C89" s="45" t="s">
        <v>294</v>
      </c>
      <c r="D89" s="45">
        <v>226</v>
      </c>
      <c r="E89" s="45">
        <v>88756.476683937712</v>
      </c>
      <c r="F89" s="45">
        <v>226</v>
      </c>
      <c r="G89" s="45">
        <v>63.499999999999986</v>
      </c>
      <c r="H89" s="45">
        <v>210.32839999999996</v>
      </c>
    </row>
    <row r="90" spans="1:8">
      <c r="B90" s="45" t="s">
        <v>385</v>
      </c>
      <c r="C90" s="45" t="s">
        <v>296</v>
      </c>
      <c r="D90" s="45">
        <v>243.00000000000006</v>
      </c>
      <c r="E90" s="45">
        <v>100590.67357512959</v>
      </c>
      <c r="F90" s="45">
        <v>243</v>
      </c>
      <c r="G90" s="45">
        <v>46.499999999999929</v>
      </c>
      <c r="H90" s="45">
        <v>224.13425000000004</v>
      </c>
    </row>
    <row r="91" spans="1:8">
      <c r="B91" s="45" t="s">
        <v>387</v>
      </c>
      <c r="C91" s="45" t="s">
        <v>298</v>
      </c>
      <c r="D91" s="45">
        <v>257.00000000000006</v>
      </c>
      <c r="E91" s="45">
        <v>97191.709844559664</v>
      </c>
      <c r="F91" s="45">
        <v>257</v>
      </c>
      <c r="G91" s="45">
        <v>32.499999999999908</v>
      </c>
      <c r="H91" s="45">
        <v>238.87730000000002</v>
      </c>
    </row>
    <row r="92" spans="1:8">
      <c r="B92" s="45" t="s">
        <v>389</v>
      </c>
      <c r="C92" s="45" t="s">
        <v>300</v>
      </c>
      <c r="D92" s="45">
        <v>228.99999999999997</v>
      </c>
      <c r="E92" s="45">
        <v>85316.062176165869</v>
      </c>
      <c r="F92" s="45">
        <v>229</v>
      </c>
      <c r="G92" s="45">
        <v>60.499999999999972</v>
      </c>
      <c r="H92" s="45">
        <v>209.72894999999997</v>
      </c>
    </row>
    <row r="93" spans="1:8">
      <c r="B93" s="45" t="s">
        <v>391</v>
      </c>
      <c r="C93" s="45" t="s">
        <v>302</v>
      </c>
      <c r="D93" s="45">
        <v>218.00000000000003</v>
      </c>
      <c r="E93" s="45">
        <v>79077.720207253937</v>
      </c>
      <c r="F93" s="45">
        <v>218</v>
      </c>
      <c r="G93" s="45">
        <v>71.499999999999929</v>
      </c>
      <c r="H93" s="45">
        <v>198.97020000000001</v>
      </c>
    </row>
    <row r="94" spans="1:8">
      <c r="B94" s="45" t="s">
        <v>393</v>
      </c>
      <c r="C94" s="45" t="s">
        <v>304</v>
      </c>
      <c r="D94" s="45">
        <v>248.00000000000006</v>
      </c>
      <c r="E94" s="45">
        <v>68051.813471502624</v>
      </c>
      <c r="F94" s="45">
        <v>248</v>
      </c>
      <c r="G94" s="45">
        <v>41.499999999999908</v>
      </c>
      <c r="H94" s="45">
        <v>226.70245</v>
      </c>
    </row>
    <row r="95" spans="1:8">
      <c r="B95" s="45" t="s">
        <v>395</v>
      </c>
      <c r="C95" s="45" t="s">
        <v>306</v>
      </c>
      <c r="D95" s="45">
        <v>271.00000000000006</v>
      </c>
      <c r="E95" s="45">
        <v>63906.735751295462</v>
      </c>
      <c r="F95" s="45">
        <v>271</v>
      </c>
      <c r="G95" s="45">
        <v>18.499999999999886</v>
      </c>
      <c r="H95" s="45">
        <v>248.54445000000004</v>
      </c>
    </row>
    <row r="96" spans="1:8">
      <c r="B96" s="45" t="s">
        <v>397</v>
      </c>
      <c r="C96" s="45" t="s">
        <v>308</v>
      </c>
      <c r="D96" s="45">
        <v>307.00000000000006</v>
      </c>
      <c r="E96" s="45">
        <v>1500000.0000000007</v>
      </c>
      <c r="F96" s="45">
        <v>307</v>
      </c>
      <c r="G96" s="45">
        <v>1E+30</v>
      </c>
      <c r="H96" s="45">
        <v>17.50000000000005</v>
      </c>
    </row>
    <row r="97" spans="2:8">
      <c r="B97" s="45" t="s">
        <v>399</v>
      </c>
      <c r="C97" s="45" t="s">
        <v>285</v>
      </c>
      <c r="D97" s="45">
        <v>43.73152202184523</v>
      </c>
      <c r="E97" s="45">
        <v>1388.890000000596</v>
      </c>
      <c r="F97" s="45">
        <v>43.73152202184523</v>
      </c>
      <c r="G97" s="45">
        <v>1E+30</v>
      </c>
      <c r="H97" s="45">
        <v>43.73152202184523</v>
      </c>
    </row>
    <row r="98" spans="2:8">
      <c r="B98" s="45" t="s">
        <v>401</v>
      </c>
      <c r="C98" s="45" t="s">
        <v>288</v>
      </c>
      <c r="D98" s="45">
        <v>45.017143524919135</v>
      </c>
      <c r="E98" s="45">
        <v>1388.8899999996647</v>
      </c>
      <c r="F98" s="45">
        <v>45.017143524919135</v>
      </c>
      <c r="G98" s="45">
        <v>1E+30</v>
      </c>
      <c r="H98" s="45">
        <v>45.017143524919135</v>
      </c>
    </row>
    <row r="99" spans="2:8">
      <c r="B99" s="45" t="s">
        <v>403</v>
      </c>
      <c r="C99" s="45" t="s">
        <v>290</v>
      </c>
      <c r="D99" s="45">
        <v>50.55435326597533</v>
      </c>
      <c r="E99" s="45">
        <v>1388.8899999996647</v>
      </c>
      <c r="F99" s="45">
        <v>50.55435326597533</v>
      </c>
      <c r="G99" s="45">
        <v>1E+30</v>
      </c>
      <c r="H99" s="45">
        <v>50.55435326597533</v>
      </c>
    </row>
    <row r="100" spans="2:8">
      <c r="B100" s="45" t="s">
        <v>405</v>
      </c>
      <c r="C100" s="45" t="s">
        <v>292</v>
      </c>
      <c r="D100" s="45">
        <v>43.050760614089043</v>
      </c>
      <c r="E100" s="45">
        <v>1388.890000000596</v>
      </c>
      <c r="F100" s="45">
        <v>43.050760614089043</v>
      </c>
      <c r="G100" s="45">
        <v>1E+30</v>
      </c>
      <c r="H100" s="45">
        <v>43.050760614089043</v>
      </c>
    </row>
    <row r="101" spans="2:8">
      <c r="B101" s="45" t="s">
        <v>407</v>
      </c>
      <c r="C101" s="45" t="s">
        <v>294</v>
      </c>
      <c r="D101" s="45">
        <v>42.619605020505354</v>
      </c>
      <c r="E101" s="45">
        <v>1388.8899999996647</v>
      </c>
      <c r="F101" s="45">
        <v>42.619605020505354</v>
      </c>
      <c r="G101" s="45">
        <v>1E+30</v>
      </c>
      <c r="H101" s="45">
        <v>42.619605020505354</v>
      </c>
    </row>
    <row r="102" spans="2:8">
      <c r="B102" s="45" t="s">
        <v>409</v>
      </c>
      <c r="C102" s="45" t="s">
        <v>296</v>
      </c>
      <c r="D102" s="45">
        <v>43.296487967552999</v>
      </c>
      <c r="E102" s="45">
        <v>1388.8899999996647</v>
      </c>
      <c r="F102" s="45">
        <v>43.296487967552999</v>
      </c>
      <c r="G102" s="45">
        <v>1E+30</v>
      </c>
      <c r="H102" s="45">
        <v>43.296487967552999</v>
      </c>
    </row>
    <row r="103" spans="2:8">
      <c r="B103" s="45" t="s">
        <v>411</v>
      </c>
      <c r="C103" s="45" t="s">
        <v>298</v>
      </c>
      <c r="D103" s="45">
        <v>42.432940341478229</v>
      </c>
      <c r="E103" s="45">
        <v>1388.890000000596</v>
      </c>
      <c r="F103" s="45">
        <v>42.432940341478229</v>
      </c>
      <c r="G103" s="45">
        <v>1E+30</v>
      </c>
      <c r="H103" s="45">
        <v>42.432940341478229</v>
      </c>
    </row>
    <row r="104" spans="2:8">
      <c r="B104" s="45" t="s">
        <v>413</v>
      </c>
      <c r="C104" s="45" t="s">
        <v>300</v>
      </c>
      <c r="D104" s="45">
        <v>42.218665219869536</v>
      </c>
      <c r="E104" s="45">
        <v>1388.890000000596</v>
      </c>
      <c r="F104" s="45">
        <v>42.218665219869536</v>
      </c>
      <c r="G104" s="45">
        <v>1E+30</v>
      </c>
      <c r="H104" s="45">
        <v>42.218665219869536</v>
      </c>
    </row>
    <row r="105" spans="2:8">
      <c r="B105" s="45" t="s">
        <v>415</v>
      </c>
      <c r="C105" s="45" t="s">
        <v>302</v>
      </c>
      <c r="D105" s="45">
        <v>42.191476392982509</v>
      </c>
      <c r="E105" s="45">
        <v>1388.8899999996647</v>
      </c>
      <c r="F105" s="45">
        <v>42.191476392982509</v>
      </c>
      <c r="G105" s="45">
        <v>1E+30</v>
      </c>
      <c r="H105" s="45">
        <v>42.191476392982509</v>
      </c>
    </row>
    <row r="106" spans="2:8">
      <c r="B106" s="45" t="s">
        <v>417</v>
      </c>
      <c r="C106" s="45" t="s">
        <v>304</v>
      </c>
      <c r="D106" s="45">
        <v>42.758040682126243</v>
      </c>
      <c r="E106" s="45">
        <v>1388.8899999996647</v>
      </c>
      <c r="F106" s="45">
        <v>42.758040682126243</v>
      </c>
      <c r="G106" s="45">
        <v>1E+30</v>
      </c>
      <c r="H106" s="45">
        <v>42.758040682126243</v>
      </c>
    </row>
    <row r="107" spans="2:8">
      <c r="B107" s="45" t="s">
        <v>419</v>
      </c>
      <c r="C107" s="45" t="s">
        <v>306</v>
      </c>
      <c r="D107" s="45">
        <v>44.175761079367398</v>
      </c>
      <c r="E107" s="45">
        <v>1388.8899999996647</v>
      </c>
      <c r="F107" s="45">
        <v>44.175761079367398</v>
      </c>
      <c r="G107" s="45">
        <v>1E+30</v>
      </c>
      <c r="H107" s="45">
        <v>44.175761079367398</v>
      </c>
    </row>
    <row r="108" spans="2:8">
      <c r="B108" s="45" t="s">
        <v>421</v>
      </c>
      <c r="C108" s="45" t="s">
        <v>308</v>
      </c>
      <c r="D108" s="45">
        <v>45.111472099393971</v>
      </c>
      <c r="E108" s="45">
        <v>1388.8899999996647</v>
      </c>
      <c r="F108" s="45">
        <v>45.111472099393971</v>
      </c>
      <c r="G108" s="45">
        <v>1E+30</v>
      </c>
      <c r="H108" s="45">
        <v>45.111472099393971</v>
      </c>
    </row>
    <row r="109" spans="2:8">
      <c r="B109" s="45" t="s">
        <v>423</v>
      </c>
      <c r="C109" s="45" t="s">
        <v>285</v>
      </c>
      <c r="D109" s="45">
        <v>14.82</v>
      </c>
      <c r="E109" s="45">
        <v>30029.999999999767</v>
      </c>
      <c r="F109" s="45">
        <v>14.82</v>
      </c>
      <c r="G109" s="45">
        <v>284.76</v>
      </c>
      <c r="H109" s="45">
        <v>14.82</v>
      </c>
    </row>
    <row r="110" spans="2:8">
      <c r="B110" s="45" t="s">
        <v>425</v>
      </c>
      <c r="C110" s="45" t="s">
        <v>288</v>
      </c>
      <c r="D110" s="45">
        <v>14.84</v>
      </c>
      <c r="E110" s="45">
        <v>31200</v>
      </c>
      <c r="F110" s="45">
        <v>14.84</v>
      </c>
      <c r="G110" s="45">
        <v>275.9517098445595</v>
      </c>
      <c r="H110" s="45">
        <v>14.84</v>
      </c>
    </row>
    <row r="111" spans="2:8">
      <c r="B111" s="45" t="s">
        <v>427</v>
      </c>
      <c r="C111" s="45" t="s">
        <v>290</v>
      </c>
      <c r="D111" s="45">
        <v>27.58</v>
      </c>
      <c r="E111" s="45">
        <v>31210.000000000233</v>
      </c>
      <c r="F111" s="45">
        <v>27.58</v>
      </c>
      <c r="G111" s="45">
        <v>256.7540932642487</v>
      </c>
      <c r="H111" s="45">
        <v>27.58</v>
      </c>
    </row>
    <row r="112" spans="2:8">
      <c r="B112" s="45" t="s">
        <v>429</v>
      </c>
      <c r="C112" s="45" t="s">
        <v>292</v>
      </c>
      <c r="D112" s="45">
        <v>18.149999999999999</v>
      </c>
      <c r="E112" s="45">
        <v>31460</v>
      </c>
      <c r="F112" s="45">
        <v>18.149999999999999</v>
      </c>
      <c r="G112" s="45">
        <v>199.96911917098444</v>
      </c>
      <c r="H112" s="45">
        <v>18.149999999999999</v>
      </c>
    </row>
    <row r="113" spans="2:8">
      <c r="B113" s="45" t="s">
        <v>431</v>
      </c>
      <c r="C113" s="45" t="s">
        <v>294</v>
      </c>
      <c r="D113" s="45">
        <v>8.33</v>
      </c>
      <c r="E113" s="45">
        <v>16280.000000000233</v>
      </c>
      <c r="F113" s="45">
        <v>8.33</v>
      </c>
      <c r="G113" s="45">
        <v>217.95689119170979</v>
      </c>
      <c r="H113" s="45">
        <v>8.33</v>
      </c>
    </row>
    <row r="114" spans="2:8">
      <c r="B114" s="45" t="s">
        <v>433</v>
      </c>
      <c r="C114" s="45" t="s">
        <v>296</v>
      </c>
      <c r="D114" s="45">
        <v>6.01</v>
      </c>
      <c r="E114" s="45">
        <v>4860</v>
      </c>
      <c r="F114" s="45">
        <v>6.01</v>
      </c>
      <c r="G114" s="45">
        <v>232.26347150259068</v>
      </c>
      <c r="H114" s="45">
        <v>6.01</v>
      </c>
    </row>
    <row r="115" spans="2:8">
      <c r="B115" s="45" t="s">
        <v>435</v>
      </c>
      <c r="C115" s="45" t="s">
        <v>298</v>
      </c>
      <c r="D115" s="45">
        <v>6.18</v>
      </c>
      <c r="E115" s="45">
        <v>8140</v>
      </c>
      <c r="F115" s="45">
        <v>6.18</v>
      </c>
      <c r="G115" s="45">
        <v>247.54124352331607</v>
      </c>
      <c r="H115" s="45">
        <v>6.18</v>
      </c>
    </row>
    <row r="116" spans="2:8">
      <c r="B116" s="45" t="s">
        <v>437</v>
      </c>
      <c r="C116" s="45" t="s">
        <v>300</v>
      </c>
      <c r="D116" s="45">
        <v>7.81</v>
      </c>
      <c r="E116" s="45">
        <v>19600</v>
      </c>
      <c r="F116" s="45">
        <v>7.81</v>
      </c>
      <c r="G116" s="45">
        <v>217.33569948186522</v>
      </c>
      <c r="H116" s="45">
        <v>7.81</v>
      </c>
    </row>
    <row r="117" spans="2:8">
      <c r="B117" s="45" t="s">
        <v>439</v>
      </c>
      <c r="C117" s="45" t="s">
        <v>302</v>
      </c>
      <c r="D117" s="45">
        <v>10.24</v>
      </c>
      <c r="E117" s="45">
        <v>25620</v>
      </c>
      <c r="F117" s="45">
        <v>10.24</v>
      </c>
      <c r="G117" s="45">
        <v>206.18673575129532</v>
      </c>
      <c r="H117" s="45">
        <v>10.24</v>
      </c>
    </row>
    <row r="118" spans="2:8">
      <c r="B118" s="45" t="s">
        <v>441</v>
      </c>
      <c r="C118" s="45" t="s">
        <v>304</v>
      </c>
      <c r="D118" s="45">
        <v>13.91</v>
      </c>
      <c r="E118" s="45">
        <v>36260</v>
      </c>
      <c r="F118" s="45">
        <v>13.91</v>
      </c>
      <c r="G118" s="45">
        <v>234.92481865284972</v>
      </c>
      <c r="H118" s="45">
        <v>13.91</v>
      </c>
    </row>
    <row r="119" spans="2:8">
      <c r="B119" s="45" t="s">
        <v>443</v>
      </c>
      <c r="C119" s="45" t="s">
        <v>306</v>
      </c>
      <c r="D119" s="45">
        <v>17.78</v>
      </c>
      <c r="E119" s="45">
        <v>40260</v>
      </c>
      <c r="F119" s="45">
        <v>17.78</v>
      </c>
      <c r="G119" s="45">
        <v>257.55901554404147</v>
      </c>
      <c r="H119" s="45">
        <v>17.78</v>
      </c>
    </row>
    <row r="120" spans="2:8">
      <c r="B120" s="45" t="s">
        <v>445</v>
      </c>
      <c r="C120" s="45" t="s">
        <v>308</v>
      </c>
      <c r="D120" s="45">
        <v>19.7</v>
      </c>
      <c r="E120" s="45">
        <v>45299.999999999767</v>
      </c>
      <c r="F120" s="45">
        <v>19.7</v>
      </c>
      <c r="G120" s="45">
        <v>278.77</v>
      </c>
      <c r="H120" s="45">
        <v>19.7</v>
      </c>
    </row>
    <row r="121" spans="2:8">
      <c r="B121" s="45" t="s">
        <v>447</v>
      </c>
      <c r="C121" s="45" t="s">
        <v>285</v>
      </c>
      <c r="D121" s="45">
        <v>0</v>
      </c>
      <c r="E121" s="45">
        <v>52469.999999999767</v>
      </c>
      <c r="F121" s="45">
        <v>0</v>
      </c>
      <c r="G121" s="45">
        <v>284.76</v>
      </c>
      <c r="H121" s="45">
        <v>0</v>
      </c>
    </row>
    <row r="122" spans="2:8">
      <c r="B122" s="45" t="s">
        <v>449</v>
      </c>
      <c r="C122" s="45" t="s">
        <v>288</v>
      </c>
      <c r="D122" s="45">
        <v>0</v>
      </c>
      <c r="E122" s="45">
        <v>53640</v>
      </c>
      <c r="F122" s="45">
        <v>0</v>
      </c>
      <c r="G122" s="45">
        <v>275.9517098445595</v>
      </c>
      <c r="H122" s="45">
        <v>0</v>
      </c>
    </row>
    <row r="123" spans="2:8">
      <c r="B123" s="45" t="s">
        <v>451</v>
      </c>
      <c r="C123" s="45" t="s">
        <v>290</v>
      </c>
      <c r="D123" s="45">
        <v>0</v>
      </c>
      <c r="E123" s="45">
        <v>53650.000000000233</v>
      </c>
      <c r="F123" s="45">
        <v>0</v>
      </c>
      <c r="G123" s="45">
        <v>256.7540932642487</v>
      </c>
      <c r="H123" s="45">
        <v>0</v>
      </c>
    </row>
    <row r="124" spans="2:8">
      <c r="B124" s="45" t="s">
        <v>453</v>
      </c>
      <c r="C124" s="45" t="s">
        <v>292</v>
      </c>
      <c r="D124" s="45">
        <v>0.54</v>
      </c>
      <c r="E124" s="45">
        <v>53900</v>
      </c>
      <c r="F124" s="45">
        <v>0.54</v>
      </c>
      <c r="G124" s="45">
        <v>199.96911917098444</v>
      </c>
      <c r="H124" s="45">
        <v>0.54</v>
      </c>
    </row>
    <row r="125" spans="2:8">
      <c r="B125" s="45" t="s">
        <v>455</v>
      </c>
      <c r="C125" s="45" t="s">
        <v>294</v>
      </c>
      <c r="D125" s="45">
        <v>5.92</v>
      </c>
      <c r="E125" s="45">
        <v>38720.000000000233</v>
      </c>
      <c r="F125" s="45">
        <v>5.92</v>
      </c>
      <c r="G125" s="45">
        <v>217.95689119170979</v>
      </c>
      <c r="H125" s="45">
        <v>5.92</v>
      </c>
    </row>
    <row r="126" spans="2:8">
      <c r="B126" s="45" t="s">
        <v>457</v>
      </c>
      <c r="C126" s="45" t="s">
        <v>296</v>
      </c>
      <c r="D126" s="45">
        <v>11.49</v>
      </c>
      <c r="E126" s="45">
        <v>27300</v>
      </c>
      <c r="F126" s="45">
        <v>11.49</v>
      </c>
      <c r="G126" s="45">
        <v>232.26347150259068</v>
      </c>
      <c r="H126" s="45">
        <v>11.49</v>
      </c>
    </row>
    <row r="127" spans="2:8">
      <c r="B127" s="45" t="s">
        <v>459</v>
      </c>
      <c r="C127" s="45" t="s">
        <v>298</v>
      </c>
      <c r="D127" s="45">
        <v>10.67</v>
      </c>
      <c r="E127" s="45">
        <v>30580</v>
      </c>
      <c r="F127" s="45">
        <v>10.67</v>
      </c>
      <c r="G127" s="45">
        <v>247.54124352331607</v>
      </c>
      <c r="H127" s="45">
        <v>10.67</v>
      </c>
    </row>
    <row r="128" spans="2:8">
      <c r="B128" s="45" t="s">
        <v>461</v>
      </c>
      <c r="C128" s="45" t="s">
        <v>300</v>
      </c>
      <c r="D128" s="45">
        <v>10.17</v>
      </c>
      <c r="E128" s="45">
        <v>42040</v>
      </c>
      <c r="F128" s="45">
        <v>10.17</v>
      </c>
      <c r="G128" s="45">
        <v>217.33569948186522</v>
      </c>
      <c r="H128" s="45">
        <v>10.17</v>
      </c>
    </row>
    <row r="129" spans="2:8">
      <c r="B129" s="45" t="s">
        <v>463</v>
      </c>
      <c r="C129" s="45" t="s">
        <v>302</v>
      </c>
      <c r="D129" s="45">
        <v>8.07</v>
      </c>
      <c r="E129" s="45">
        <v>48060</v>
      </c>
      <c r="F129" s="45">
        <v>8.07</v>
      </c>
      <c r="G129" s="45">
        <v>206.18673575129532</v>
      </c>
      <c r="H129" s="45">
        <v>8.07</v>
      </c>
    </row>
    <row r="130" spans="2:8">
      <c r="B130" s="45" t="s">
        <v>465</v>
      </c>
      <c r="C130" s="45" t="s">
        <v>304</v>
      </c>
      <c r="D130" s="45">
        <v>7.47</v>
      </c>
      <c r="E130" s="45">
        <v>58700</v>
      </c>
      <c r="F130" s="45">
        <v>7.47</v>
      </c>
      <c r="G130" s="45">
        <v>234.92481865284972</v>
      </c>
      <c r="H130" s="45">
        <v>7.47</v>
      </c>
    </row>
    <row r="131" spans="2:8">
      <c r="B131" s="45" t="s">
        <v>467</v>
      </c>
      <c r="C131" s="45" t="s">
        <v>306</v>
      </c>
      <c r="D131" s="45">
        <v>4.82</v>
      </c>
      <c r="E131" s="45">
        <v>62700</v>
      </c>
      <c r="F131" s="45">
        <v>4.82</v>
      </c>
      <c r="G131" s="45">
        <v>257.55901554404147</v>
      </c>
      <c r="H131" s="45">
        <v>4.82</v>
      </c>
    </row>
    <row r="132" spans="2:8">
      <c r="B132" s="45" t="s">
        <v>469</v>
      </c>
      <c r="C132" s="45" t="s">
        <v>308</v>
      </c>
      <c r="D132" s="45">
        <v>0.91</v>
      </c>
      <c r="E132" s="45">
        <v>67739.999999999767</v>
      </c>
      <c r="F132" s="45">
        <v>0.91</v>
      </c>
      <c r="G132" s="45">
        <v>278.77</v>
      </c>
      <c r="H132" s="45">
        <v>0.91</v>
      </c>
    </row>
    <row r="133" spans="2:8">
      <c r="B133" s="45" t="s">
        <v>471</v>
      </c>
      <c r="C133" s="45" t="s">
        <v>285</v>
      </c>
      <c r="D133" s="45">
        <v>0.42</v>
      </c>
      <c r="E133" s="45">
        <v>87519.999999999534</v>
      </c>
      <c r="F133" s="45">
        <v>0.42</v>
      </c>
      <c r="G133" s="45">
        <v>284.76</v>
      </c>
      <c r="H133" s="45">
        <v>0.42</v>
      </c>
    </row>
    <row r="134" spans="2:8">
      <c r="B134" s="45" t="s">
        <v>473</v>
      </c>
      <c r="C134" s="45" t="s">
        <v>288</v>
      </c>
      <c r="D134" s="45">
        <v>0.4</v>
      </c>
      <c r="E134" s="45">
        <v>88689.999999999767</v>
      </c>
      <c r="F134" s="45">
        <v>0.4</v>
      </c>
      <c r="G134" s="45">
        <v>275.9517098445595</v>
      </c>
      <c r="H134" s="45">
        <v>0.4</v>
      </c>
    </row>
    <row r="135" spans="2:8">
      <c r="B135" s="45" t="s">
        <v>475</v>
      </c>
      <c r="C135" s="45" t="s">
        <v>290</v>
      </c>
      <c r="D135" s="45">
        <v>0.64</v>
      </c>
      <c r="E135" s="45">
        <v>88700</v>
      </c>
      <c r="F135" s="45">
        <v>0.64</v>
      </c>
      <c r="G135" s="45">
        <v>256.7540932642487</v>
      </c>
      <c r="H135" s="45">
        <v>0.64</v>
      </c>
    </row>
    <row r="136" spans="2:8">
      <c r="B136" s="45" t="s">
        <v>477</v>
      </c>
      <c r="C136" s="45" t="s">
        <v>292</v>
      </c>
      <c r="D136" s="45">
        <v>1.03</v>
      </c>
      <c r="E136" s="45">
        <v>88949.999999999767</v>
      </c>
      <c r="F136" s="45">
        <v>1.03</v>
      </c>
      <c r="G136" s="45">
        <v>199.96911917098444</v>
      </c>
      <c r="H136" s="45">
        <v>1.03</v>
      </c>
    </row>
    <row r="137" spans="2:8">
      <c r="B137" s="45" t="s">
        <v>479</v>
      </c>
      <c r="C137" s="45" t="s">
        <v>294</v>
      </c>
      <c r="D137" s="45">
        <v>1.99</v>
      </c>
      <c r="E137" s="45">
        <v>73770</v>
      </c>
      <c r="F137" s="45">
        <v>1.99</v>
      </c>
      <c r="G137" s="45">
        <v>217.95689119170979</v>
      </c>
      <c r="H137" s="45">
        <v>1.99</v>
      </c>
    </row>
    <row r="138" spans="2:8">
      <c r="B138" s="45" t="s">
        <v>481</v>
      </c>
      <c r="C138" s="45" t="s">
        <v>296</v>
      </c>
      <c r="D138" s="45">
        <v>2.0499999999999998</v>
      </c>
      <c r="E138" s="45">
        <v>62350</v>
      </c>
      <c r="F138" s="45">
        <v>2.0499999999999998</v>
      </c>
      <c r="G138" s="45">
        <v>232.26347150259068</v>
      </c>
      <c r="H138" s="45">
        <v>2.0499999999999998</v>
      </c>
    </row>
    <row r="139" spans="2:8">
      <c r="B139" s="45" t="s">
        <v>483</v>
      </c>
      <c r="C139" s="45" t="s">
        <v>298</v>
      </c>
      <c r="D139" s="45">
        <v>1.93</v>
      </c>
      <c r="E139" s="45">
        <v>65630</v>
      </c>
      <c r="F139" s="45">
        <v>1.93</v>
      </c>
      <c r="G139" s="45">
        <v>247.54124352331607</v>
      </c>
      <c r="H139" s="45">
        <v>1.93</v>
      </c>
    </row>
    <row r="140" spans="2:8">
      <c r="B140" s="45" t="s">
        <v>485</v>
      </c>
      <c r="C140" s="45" t="s">
        <v>300</v>
      </c>
      <c r="D140" s="45">
        <v>1.99</v>
      </c>
      <c r="E140" s="45">
        <v>77089.999999999767</v>
      </c>
      <c r="F140" s="45">
        <v>1.99</v>
      </c>
      <c r="G140" s="45">
        <v>217.33569948186522</v>
      </c>
      <c r="H140" s="45">
        <v>1.99</v>
      </c>
    </row>
    <row r="141" spans="2:8">
      <c r="B141" s="45" t="s">
        <v>487</v>
      </c>
      <c r="C141" s="45" t="s">
        <v>302</v>
      </c>
      <c r="D141" s="45">
        <v>1.41</v>
      </c>
      <c r="E141" s="45">
        <v>83110</v>
      </c>
      <c r="F141" s="45">
        <v>1.41</v>
      </c>
      <c r="G141" s="45">
        <v>206.18673575129532</v>
      </c>
      <c r="H141" s="45">
        <v>1.41</v>
      </c>
    </row>
    <row r="142" spans="2:8">
      <c r="B142" s="45" t="s">
        <v>489</v>
      </c>
      <c r="C142" s="45" t="s">
        <v>304</v>
      </c>
      <c r="D142" s="45">
        <v>0.69</v>
      </c>
      <c r="E142" s="45">
        <v>93750</v>
      </c>
      <c r="F142" s="45">
        <v>0.69</v>
      </c>
      <c r="G142" s="45">
        <v>234.92481865284972</v>
      </c>
      <c r="H142" s="45">
        <v>0.69</v>
      </c>
    </row>
    <row r="143" spans="2:8">
      <c r="B143" s="45" t="s">
        <v>491</v>
      </c>
      <c r="C143" s="45" t="s">
        <v>306</v>
      </c>
      <c r="D143" s="45">
        <v>0.67</v>
      </c>
      <c r="E143" s="45">
        <v>97750</v>
      </c>
      <c r="F143" s="45">
        <v>0.67</v>
      </c>
      <c r="G143" s="45">
        <v>257.55901554404147</v>
      </c>
      <c r="H143" s="45">
        <v>0.67</v>
      </c>
    </row>
    <row r="144" spans="2:8">
      <c r="B144" s="45" t="s">
        <v>493</v>
      </c>
      <c r="C144" s="45" t="s">
        <v>308</v>
      </c>
      <c r="D144" s="45">
        <v>0.62</v>
      </c>
      <c r="E144" s="45">
        <v>102789.99999999977</v>
      </c>
      <c r="F144" s="45">
        <v>0.62</v>
      </c>
      <c r="G144" s="45">
        <v>278.77</v>
      </c>
      <c r="H144" s="45">
        <v>0.62</v>
      </c>
    </row>
    <row r="145" spans="2:8">
      <c r="B145" s="45" t="s">
        <v>495</v>
      </c>
      <c r="C145" s="45" t="s">
        <v>285</v>
      </c>
      <c r="D145" s="45">
        <v>300</v>
      </c>
      <c r="E145" s="45">
        <v>-1375599.9999999995</v>
      </c>
      <c r="F145" s="45">
        <v>300</v>
      </c>
      <c r="G145" s="45">
        <v>24.352331606217611</v>
      </c>
      <c r="H145" s="45">
        <v>284.76</v>
      </c>
    </row>
    <row r="146" spans="2:8">
      <c r="B146" s="45" t="s">
        <v>498</v>
      </c>
      <c r="C146" s="45" t="s">
        <v>288</v>
      </c>
      <c r="D146" s="45">
        <v>291.19170984455957</v>
      </c>
      <c r="E146" s="45">
        <v>0</v>
      </c>
      <c r="F146" s="45">
        <v>300</v>
      </c>
      <c r="G146" s="45">
        <v>1E+30</v>
      </c>
      <c r="H146" s="45">
        <v>8.8082901554404884</v>
      </c>
    </row>
    <row r="147" spans="2:8">
      <c r="B147" s="45" t="s">
        <v>500</v>
      </c>
      <c r="C147" s="45" t="s">
        <v>290</v>
      </c>
      <c r="D147" s="45">
        <v>284.97409326424872</v>
      </c>
      <c r="E147" s="45">
        <v>0</v>
      </c>
      <c r="F147" s="45">
        <v>300</v>
      </c>
      <c r="G147" s="45">
        <v>1E+30</v>
      </c>
      <c r="H147" s="45">
        <v>15.025906735751278</v>
      </c>
    </row>
    <row r="148" spans="2:8">
      <c r="B148" s="45" t="s">
        <v>502</v>
      </c>
      <c r="C148" s="45" t="s">
        <v>292</v>
      </c>
      <c r="D148" s="45">
        <v>219.6891191709845</v>
      </c>
      <c r="E148" s="45">
        <v>0</v>
      </c>
      <c r="F148" s="45">
        <v>300</v>
      </c>
      <c r="G148" s="45">
        <v>1E+30</v>
      </c>
      <c r="H148" s="45">
        <v>80.310880829015531</v>
      </c>
    </row>
    <row r="149" spans="2:8">
      <c r="B149" s="45" t="s">
        <v>504</v>
      </c>
      <c r="C149" s="45" t="s">
        <v>294</v>
      </c>
      <c r="D149" s="45">
        <v>234.19689119170985</v>
      </c>
      <c r="E149" s="45">
        <v>0</v>
      </c>
      <c r="F149" s="45">
        <v>300</v>
      </c>
      <c r="G149" s="45">
        <v>1E+30</v>
      </c>
      <c r="H149" s="45">
        <v>65.803108808290148</v>
      </c>
    </row>
    <row r="150" spans="2:8">
      <c r="B150" s="45" t="s">
        <v>506</v>
      </c>
      <c r="C150" s="45" t="s">
        <v>296</v>
      </c>
      <c r="D150" s="45">
        <v>251.81347150259074</v>
      </c>
      <c r="E150" s="45">
        <v>0</v>
      </c>
      <c r="F150" s="45">
        <v>300</v>
      </c>
      <c r="G150" s="45">
        <v>1E+30</v>
      </c>
      <c r="H150" s="45">
        <v>48.186528497409256</v>
      </c>
    </row>
    <row r="151" spans="2:8">
      <c r="B151" s="45" t="s">
        <v>508</v>
      </c>
      <c r="C151" s="45" t="s">
        <v>298</v>
      </c>
      <c r="D151" s="45">
        <v>266.32124352331613</v>
      </c>
      <c r="E151" s="45">
        <v>0</v>
      </c>
      <c r="F151" s="45">
        <v>300</v>
      </c>
      <c r="G151" s="45">
        <v>1E+30</v>
      </c>
      <c r="H151" s="45">
        <v>33.678756476683844</v>
      </c>
    </row>
    <row r="152" spans="2:8">
      <c r="B152" s="45" t="s">
        <v>510</v>
      </c>
      <c r="C152" s="45" t="s">
        <v>300</v>
      </c>
      <c r="D152" s="45">
        <v>237.30569948186528</v>
      </c>
      <c r="E152" s="45">
        <v>0</v>
      </c>
      <c r="F152" s="45">
        <v>300</v>
      </c>
      <c r="G152" s="45">
        <v>1E+30</v>
      </c>
      <c r="H152" s="45">
        <v>62.694300518134696</v>
      </c>
    </row>
    <row r="153" spans="2:8">
      <c r="B153" s="45" t="s">
        <v>512</v>
      </c>
      <c r="C153" s="45" t="s">
        <v>302</v>
      </c>
      <c r="D153" s="45">
        <v>225.90673575129537</v>
      </c>
      <c r="E153" s="45">
        <v>0</v>
      </c>
      <c r="F153" s="45">
        <v>300</v>
      </c>
      <c r="G153" s="45">
        <v>1E+30</v>
      </c>
      <c r="H153" s="45">
        <v>74.0932642487046</v>
      </c>
    </row>
    <row r="154" spans="2:8">
      <c r="B154" s="45" t="s">
        <v>514</v>
      </c>
      <c r="C154" s="45" t="s">
        <v>304</v>
      </c>
      <c r="D154" s="45">
        <v>256.9948186528498</v>
      </c>
      <c r="E154" s="45">
        <v>0</v>
      </c>
      <c r="F154" s="45">
        <v>300</v>
      </c>
      <c r="G154" s="45">
        <v>1E+30</v>
      </c>
      <c r="H154" s="45">
        <v>43.00518134715017</v>
      </c>
    </row>
    <row r="155" spans="2:8">
      <c r="B155" s="45" t="s">
        <v>516</v>
      </c>
      <c r="C155" s="45" t="s">
        <v>306</v>
      </c>
      <c r="D155" s="45">
        <v>280.82901554404151</v>
      </c>
      <c r="E155" s="45">
        <v>0</v>
      </c>
      <c r="F155" s="45">
        <v>300</v>
      </c>
      <c r="G155" s="45">
        <v>1E+30</v>
      </c>
      <c r="H155" s="45">
        <v>19.170984455958433</v>
      </c>
    </row>
    <row r="156" spans="2:8" ht="15" thickBot="1">
      <c r="B156" s="43" t="s">
        <v>518</v>
      </c>
      <c r="C156" s="43" t="s">
        <v>308</v>
      </c>
      <c r="D156" s="43">
        <v>300</v>
      </c>
      <c r="E156" s="43">
        <v>-1390870.0000000005</v>
      </c>
      <c r="F156" s="43">
        <v>300</v>
      </c>
      <c r="G156" s="43">
        <v>18.13471502590679</v>
      </c>
      <c r="H156" s="43">
        <v>278.77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0B5C-7FCF-4E9E-A61F-C201F269F191}">
  <sheetPr>
    <tabColor theme="3" tint="0.499984740745262"/>
  </sheetPr>
  <dimension ref="A2:N83"/>
  <sheetViews>
    <sheetView topLeftCell="A56" zoomScale="80" workbookViewId="0">
      <selection activeCell="C12" sqref="C12"/>
    </sheetView>
  </sheetViews>
  <sheetFormatPr defaultColWidth="11.42578125" defaultRowHeight="14.45"/>
  <cols>
    <col min="1" max="1" width="23.7109375" customWidth="1"/>
    <col min="2" max="2" width="9.140625" bestFit="1" customWidth="1"/>
    <col min="3" max="3" width="43.42578125" bestFit="1" customWidth="1"/>
    <col min="4" max="4" width="12" bestFit="1" customWidth="1"/>
    <col min="6" max="7" width="12" bestFit="1" customWidth="1"/>
    <col min="9" max="10" width="12" bestFit="1" customWidth="1"/>
  </cols>
  <sheetData>
    <row r="2" spans="1:14">
      <c r="A2" s="99" t="s">
        <v>534</v>
      </c>
      <c r="B2" s="99"/>
      <c r="C2" s="99"/>
      <c r="D2" s="99"/>
      <c r="E2" s="99"/>
      <c r="F2" s="99"/>
      <c r="G2" s="99"/>
    </row>
    <row r="3" spans="1:14">
      <c r="A3" s="99"/>
      <c r="B3" s="99"/>
      <c r="C3" s="99"/>
      <c r="D3" s="99"/>
      <c r="E3" s="99"/>
      <c r="F3" s="99"/>
      <c r="G3" s="99"/>
    </row>
    <row r="5" spans="1:14">
      <c r="A5" s="100" t="s">
        <v>535</v>
      </c>
      <c r="B5" s="101"/>
    </row>
    <row r="6" spans="1:14">
      <c r="A6" s="26" t="s">
        <v>536</v>
      </c>
      <c r="B6" s="28" t="s">
        <v>205</v>
      </c>
      <c r="C6" s="28" t="s">
        <v>537</v>
      </c>
      <c r="D6" s="28" t="s">
        <v>538</v>
      </c>
      <c r="E6" s="28" t="s">
        <v>539</v>
      </c>
      <c r="F6" s="28" t="s">
        <v>540</v>
      </c>
      <c r="G6" s="28" t="s">
        <v>541</v>
      </c>
      <c r="H6" s="28" t="s">
        <v>542</v>
      </c>
      <c r="I6" s="28" t="s">
        <v>543</v>
      </c>
      <c r="J6" s="28" t="s">
        <v>544</v>
      </c>
      <c r="K6" s="28" t="s">
        <v>545</v>
      </c>
      <c r="L6" s="28" t="s">
        <v>546</v>
      </c>
      <c r="M6" s="28" t="s">
        <v>547</v>
      </c>
      <c r="N6" s="28" t="s">
        <v>548</v>
      </c>
    </row>
    <row r="7" spans="1:14">
      <c r="A7" s="26" t="s">
        <v>549</v>
      </c>
      <c r="B7" s="27" t="s">
        <v>235</v>
      </c>
      <c r="C7" s="42">
        <v>14.82</v>
      </c>
      <c r="D7" s="42">
        <v>14.84</v>
      </c>
      <c r="E7" s="42">
        <v>27.58</v>
      </c>
      <c r="F7" s="42">
        <v>18.149999999999999</v>
      </c>
      <c r="G7" s="42">
        <v>8.33</v>
      </c>
      <c r="H7" s="42">
        <v>6.01</v>
      </c>
      <c r="I7" s="42">
        <v>6.18</v>
      </c>
      <c r="J7" s="42">
        <v>7.81</v>
      </c>
      <c r="K7" s="42">
        <v>10.24</v>
      </c>
      <c r="L7" s="42">
        <v>13.91</v>
      </c>
      <c r="M7" s="42">
        <v>17.78</v>
      </c>
      <c r="N7" s="42">
        <v>19.7</v>
      </c>
    </row>
    <row r="8" spans="1:14">
      <c r="A8" s="26" t="s">
        <v>550</v>
      </c>
      <c r="B8" s="27" t="s">
        <v>235</v>
      </c>
      <c r="C8" s="42">
        <v>0</v>
      </c>
      <c r="D8" s="42">
        <v>0</v>
      </c>
      <c r="E8" s="42">
        <v>0</v>
      </c>
      <c r="F8" s="42">
        <v>0.54</v>
      </c>
      <c r="G8" s="42">
        <v>5.92</v>
      </c>
      <c r="H8" s="42">
        <v>11.49</v>
      </c>
      <c r="I8" s="42">
        <v>10.67</v>
      </c>
      <c r="J8" s="42">
        <v>10.17</v>
      </c>
      <c r="K8" s="42">
        <v>8.07</v>
      </c>
      <c r="L8" s="42">
        <v>7.47</v>
      </c>
      <c r="M8" s="42">
        <v>4.82</v>
      </c>
      <c r="N8" s="42">
        <v>0.91</v>
      </c>
    </row>
    <row r="9" spans="1:14">
      <c r="A9" s="26" t="s">
        <v>551</v>
      </c>
      <c r="B9" s="27" t="s">
        <v>235</v>
      </c>
      <c r="C9" s="42">
        <v>0.42</v>
      </c>
      <c r="D9" s="42">
        <v>0.4</v>
      </c>
      <c r="E9" s="42">
        <v>0.64</v>
      </c>
      <c r="F9" s="42">
        <v>1.03</v>
      </c>
      <c r="G9" s="42">
        <v>1.99</v>
      </c>
      <c r="H9" s="42">
        <v>2.0499999999999998</v>
      </c>
      <c r="I9" s="42">
        <v>1.93</v>
      </c>
      <c r="J9" s="42">
        <v>1.99</v>
      </c>
      <c r="K9" s="42">
        <v>1.41</v>
      </c>
      <c r="L9" s="42">
        <v>0.69</v>
      </c>
      <c r="M9" s="42">
        <v>0.67</v>
      </c>
      <c r="N9" s="42">
        <v>0.62</v>
      </c>
    </row>
    <row r="10" spans="1:14">
      <c r="A10" s="26" t="s">
        <v>552</v>
      </c>
      <c r="B10" s="27" t="s">
        <v>235</v>
      </c>
      <c r="C10" s="42">
        <v>284.76</v>
      </c>
      <c r="D10" s="42">
        <v>275.95170984455956</v>
      </c>
      <c r="E10" s="42">
        <v>256.75409326424875</v>
      </c>
      <c r="F10" s="42">
        <v>199.9691191709845</v>
      </c>
      <c r="G10" s="42">
        <v>217.95689119170984</v>
      </c>
      <c r="H10" s="42">
        <v>232.26347150259073</v>
      </c>
      <c r="I10" s="42">
        <v>247.54124352331613</v>
      </c>
      <c r="J10" s="42">
        <v>217.33569948186528</v>
      </c>
      <c r="K10" s="42">
        <v>206.18673575129537</v>
      </c>
      <c r="L10" s="42">
        <v>234.92481865284978</v>
      </c>
      <c r="M10" s="42">
        <v>257.55901554404153</v>
      </c>
      <c r="N10" s="42">
        <v>278.77</v>
      </c>
    </row>
    <row r="11" spans="1:14">
      <c r="A11" s="26" t="s">
        <v>553</v>
      </c>
      <c r="B11" s="27" t="s">
        <v>235</v>
      </c>
      <c r="C11" s="42">
        <v>43.73152202184523</v>
      </c>
      <c r="D11" s="42">
        <v>45.017143524919135</v>
      </c>
      <c r="E11" s="42">
        <v>50.55435326597533</v>
      </c>
      <c r="F11" s="42">
        <v>43.050760614089043</v>
      </c>
      <c r="G11" s="42">
        <v>42.619605020505354</v>
      </c>
      <c r="H11" s="42">
        <v>43.296487967552999</v>
      </c>
      <c r="I11" s="42">
        <v>42.432940341478229</v>
      </c>
      <c r="J11" s="42">
        <v>42.218665219869536</v>
      </c>
      <c r="K11" s="42">
        <v>42.191476392982509</v>
      </c>
      <c r="L11" s="42">
        <v>42.758040682126243</v>
      </c>
      <c r="M11" s="42">
        <v>44.175761079367398</v>
      </c>
      <c r="N11" s="42">
        <v>45.111472099393971</v>
      </c>
    </row>
    <row r="12" spans="1:14">
      <c r="A12" s="83" t="s">
        <v>554</v>
      </c>
      <c r="B12" s="84" t="s">
        <v>235</v>
      </c>
      <c r="C12" s="85">
        <v>23.5</v>
      </c>
      <c r="D12" s="85">
        <v>0</v>
      </c>
      <c r="E12" s="85">
        <v>0</v>
      </c>
      <c r="F12" s="85">
        <v>0</v>
      </c>
      <c r="G12" s="85">
        <v>0</v>
      </c>
      <c r="H12" s="85">
        <v>0</v>
      </c>
      <c r="I12" s="85">
        <v>0</v>
      </c>
      <c r="J12" s="85">
        <v>0</v>
      </c>
      <c r="K12" s="85">
        <v>0</v>
      </c>
      <c r="L12" s="85">
        <v>0</v>
      </c>
      <c r="M12" s="85">
        <v>0</v>
      </c>
      <c r="N12" s="85">
        <v>17.500000000000057</v>
      </c>
    </row>
    <row r="16" spans="1:14">
      <c r="A16" s="98" t="s">
        <v>555</v>
      </c>
      <c r="B16" s="98"/>
    </row>
    <row r="17" spans="1:14">
      <c r="A17" s="28" t="s">
        <v>204</v>
      </c>
      <c r="B17" s="28" t="s">
        <v>205</v>
      </c>
      <c r="C17" s="28" t="s">
        <v>537</v>
      </c>
      <c r="D17" s="28" t="s">
        <v>538</v>
      </c>
      <c r="E17" s="28" t="s">
        <v>539</v>
      </c>
      <c r="F17" s="28" t="s">
        <v>540</v>
      </c>
      <c r="G17" s="28" t="s">
        <v>541</v>
      </c>
      <c r="H17" s="28" t="s">
        <v>542</v>
      </c>
      <c r="I17" s="28" t="s">
        <v>543</v>
      </c>
      <c r="J17" s="28" t="s">
        <v>544</v>
      </c>
      <c r="K17" s="28" t="s">
        <v>545</v>
      </c>
      <c r="L17" s="28" t="s">
        <v>546</v>
      </c>
      <c r="M17" s="28" t="s">
        <v>547</v>
      </c>
      <c r="N17" s="28" t="s">
        <v>548</v>
      </c>
    </row>
    <row r="18" spans="1:14">
      <c r="A18" s="28" t="s">
        <v>556</v>
      </c>
      <c r="B18" s="27" t="s">
        <v>557</v>
      </c>
      <c r="C18" s="24">
        <f>$B$72*C7+$B$73*C8+$B$74*C9+C78*C10+$B$75*C11+$B$76*C12</f>
        <v>57362541.273620918</v>
      </c>
      <c r="D18" s="24">
        <f t="shared" ref="D18:N18" si="0">$B$72*D7+$B$73*D8+$B$74*D9+D78*D10+$B$75*D11+$B$76*D12</f>
        <v>21156997.49777602</v>
      </c>
      <c r="E18" s="24">
        <f t="shared" si="0"/>
        <v>21141122.111355253</v>
      </c>
      <c r="F18" s="24">
        <f t="shared" si="0"/>
        <v>16233008.49888858</v>
      </c>
      <c r="G18" s="24">
        <f t="shared" si="0"/>
        <v>20629794.77378688</v>
      </c>
      <c r="H18" s="24">
        <f t="shared" si="0"/>
        <v>24974370.837929741</v>
      </c>
      <c r="I18" s="24">
        <f t="shared" si="0"/>
        <v>25540463.816562694</v>
      </c>
      <c r="J18" s="24">
        <f t="shared" si="0"/>
        <v>20330047.220279191</v>
      </c>
      <c r="K18" s="24">
        <f t="shared" si="0"/>
        <v>18064920.424828801</v>
      </c>
      <c r="L18" s="24">
        <f t="shared" si="0"/>
        <v>17943789.056055643</v>
      </c>
      <c r="M18" s="24">
        <f t="shared" si="0"/>
        <v>18463609.961406566</v>
      </c>
      <c r="N18" s="24">
        <f t="shared" si="0"/>
        <v>44319438.07248421</v>
      </c>
    </row>
    <row r="19" spans="1:14">
      <c r="B19" s="29"/>
    </row>
    <row r="20" spans="1:14">
      <c r="A20" s="28" t="s">
        <v>558</v>
      </c>
      <c r="B20" s="27" t="s">
        <v>557</v>
      </c>
      <c r="C20" s="42">
        <f>SUM(C18:N18)</f>
        <v>306160103.54497445</v>
      </c>
    </row>
    <row r="23" spans="1:14">
      <c r="A23" s="98" t="s">
        <v>369</v>
      </c>
      <c r="B23" s="98"/>
    </row>
    <row r="25" spans="1:14">
      <c r="A25" s="26" t="s">
        <v>559</v>
      </c>
    </row>
    <row r="26" spans="1:14">
      <c r="A26" s="1"/>
      <c r="B26" s="28" t="s">
        <v>205</v>
      </c>
      <c r="C26" s="28" t="s">
        <v>537</v>
      </c>
      <c r="D26" s="28" t="s">
        <v>538</v>
      </c>
      <c r="E26" s="28" t="s">
        <v>539</v>
      </c>
      <c r="F26" s="28" t="s">
        <v>540</v>
      </c>
      <c r="G26" s="28" t="s">
        <v>541</v>
      </c>
      <c r="H26" s="28" t="s">
        <v>542</v>
      </c>
      <c r="I26" s="28" t="s">
        <v>543</v>
      </c>
      <c r="J26" s="28" t="s">
        <v>544</v>
      </c>
      <c r="K26" s="28" t="s">
        <v>545</v>
      </c>
      <c r="L26" s="28" t="s">
        <v>546</v>
      </c>
      <c r="M26" s="28" t="s">
        <v>547</v>
      </c>
      <c r="N26" s="28" t="s">
        <v>548</v>
      </c>
    </row>
    <row r="27" spans="1:14">
      <c r="A27" s="28" t="s">
        <v>560</v>
      </c>
      <c r="B27" s="27" t="s">
        <v>235</v>
      </c>
      <c r="C27" s="24">
        <f>(1-$B$83)*(C7+C8+C9+C10)+C12</f>
        <v>313</v>
      </c>
      <c r="D27" s="24">
        <f t="shared" ref="D27:N27" si="1">(1-$B$83)*(D7+D8+D9+D10)+D12</f>
        <v>281</v>
      </c>
      <c r="E27" s="24">
        <f t="shared" si="1"/>
        <v>275</v>
      </c>
      <c r="F27" s="24">
        <f t="shared" si="1"/>
        <v>212.00000000000003</v>
      </c>
      <c r="G27" s="24">
        <f t="shared" si="1"/>
        <v>226</v>
      </c>
      <c r="H27" s="24">
        <f t="shared" si="1"/>
        <v>243.00000000000006</v>
      </c>
      <c r="I27" s="24">
        <f t="shared" si="1"/>
        <v>257.00000000000006</v>
      </c>
      <c r="J27" s="24">
        <f t="shared" si="1"/>
        <v>228.99999999999997</v>
      </c>
      <c r="K27" s="24">
        <f t="shared" si="1"/>
        <v>218.00000000000003</v>
      </c>
      <c r="L27" s="24">
        <f t="shared" si="1"/>
        <v>248.00000000000006</v>
      </c>
      <c r="M27" s="24">
        <f t="shared" si="1"/>
        <v>271.00000000000006</v>
      </c>
      <c r="N27" s="24">
        <f t="shared" si="1"/>
        <v>307.00000000000006</v>
      </c>
    </row>
    <row r="28" spans="1:14">
      <c r="A28" s="28" t="s">
        <v>561</v>
      </c>
      <c r="B28" s="27"/>
      <c r="C28" s="27" t="s">
        <v>562</v>
      </c>
      <c r="D28" s="27" t="s">
        <v>562</v>
      </c>
      <c r="E28" s="27" t="s">
        <v>562</v>
      </c>
      <c r="F28" s="27" t="s">
        <v>562</v>
      </c>
      <c r="G28" s="27" t="s">
        <v>562</v>
      </c>
      <c r="H28" s="27" t="s">
        <v>562</v>
      </c>
      <c r="I28" s="27" t="s">
        <v>562</v>
      </c>
      <c r="J28" s="27" t="s">
        <v>562</v>
      </c>
      <c r="K28" s="27" t="s">
        <v>562</v>
      </c>
      <c r="L28" s="27" t="s">
        <v>562</v>
      </c>
      <c r="M28" s="27" t="s">
        <v>562</v>
      </c>
      <c r="N28" s="27" t="s">
        <v>562</v>
      </c>
    </row>
    <row r="29" spans="1:14">
      <c r="A29" s="28" t="s">
        <v>563</v>
      </c>
      <c r="B29" s="27" t="s">
        <v>235</v>
      </c>
      <c r="C29" s="38">
        <v>313</v>
      </c>
      <c r="D29" s="38">
        <v>281</v>
      </c>
      <c r="E29" s="38">
        <v>275</v>
      </c>
      <c r="F29" s="38">
        <v>212</v>
      </c>
      <c r="G29" s="38">
        <v>226</v>
      </c>
      <c r="H29" s="38">
        <v>243</v>
      </c>
      <c r="I29" s="38">
        <v>257</v>
      </c>
      <c r="J29" s="38">
        <v>229</v>
      </c>
      <c r="K29" s="38">
        <v>218</v>
      </c>
      <c r="L29" s="38">
        <v>248</v>
      </c>
      <c r="M29" s="38">
        <v>271</v>
      </c>
      <c r="N29" s="38">
        <v>307</v>
      </c>
    </row>
    <row r="31" spans="1:14">
      <c r="A31" s="28" t="s">
        <v>564</v>
      </c>
    </row>
    <row r="32" spans="1:14">
      <c r="A32" s="1"/>
      <c r="B32" s="26" t="s">
        <v>205</v>
      </c>
      <c r="C32" s="26" t="s">
        <v>537</v>
      </c>
      <c r="D32" s="26" t="s">
        <v>538</v>
      </c>
      <c r="E32" s="26" t="s">
        <v>539</v>
      </c>
      <c r="F32" s="26" t="s">
        <v>540</v>
      </c>
      <c r="G32" s="26" t="s">
        <v>541</v>
      </c>
      <c r="H32" s="26" t="s">
        <v>542</v>
      </c>
      <c r="I32" s="26" t="s">
        <v>543</v>
      </c>
      <c r="J32" s="26" t="s">
        <v>544</v>
      </c>
      <c r="K32" s="26" t="s">
        <v>545</v>
      </c>
      <c r="L32" s="26" t="s">
        <v>546</v>
      </c>
      <c r="M32" s="26" t="s">
        <v>547</v>
      </c>
      <c r="N32" s="26" t="s">
        <v>548</v>
      </c>
    </row>
    <row r="33" spans="1:14">
      <c r="A33" s="28" t="s">
        <v>565</v>
      </c>
      <c r="B33" s="27" t="s">
        <v>235</v>
      </c>
      <c r="C33" s="24">
        <f>C11</f>
        <v>43.73152202184523</v>
      </c>
      <c r="D33" s="24">
        <f t="shared" ref="D33:N33" si="2">D11</f>
        <v>45.017143524919135</v>
      </c>
      <c r="E33" s="24">
        <f t="shared" si="2"/>
        <v>50.55435326597533</v>
      </c>
      <c r="F33" s="24">
        <f t="shared" si="2"/>
        <v>43.050760614089043</v>
      </c>
      <c r="G33" s="24">
        <f t="shared" si="2"/>
        <v>42.619605020505354</v>
      </c>
      <c r="H33" s="24">
        <f t="shared" si="2"/>
        <v>43.296487967552999</v>
      </c>
      <c r="I33" s="24">
        <f t="shared" si="2"/>
        <v>42.432940341478229</v>
      </c>
      <c r="J33" s="24">
        <f t="shared" si="2"/>
        <v>42.218665219869536</v>
      </c>
      <c r="K33" s="24">
        <f t="shared" si="2"/>
        <v>42.191476392982509</v>
      </c>
      <c r="L33" s="24">
        <f t="shared" si="2"/>
        <v>42.758040682126243</v>
      </c>
      <c r="M33" s="24">
        <f t="shared" si="2"/>
        <v>44.175761079367398</v>
      </c>
      <c r="N33" s="24">
        <f t="shared" si="2"/>
        <v>45.111472099393971</v>
      </c>
    </row>
    <row r="34" spans="1:14">
      <c r="A34" s="28" t="s">
        <v>561</v>
      </c>
      <c r="B34" s="27"/>
      <c r="C34" s="27" t="s">
        <v>566</v>
      </c>
      <c r="D34" s="27" t="s">
        <v>566</v>
      </c>
      <c r="E34" s="27" t="s">
        <v>566</v>
      </c>
      <c r="F34" s="27" t="s">
        <v>566</v>
      </c>
      <c r="G34" s="27" t="s">
        <v>566</v>
      </c>
      <c r="H34" s="27" t="s">
        <v>566</v>
      </c>
      <c r="I34" s="27" t="s">
        <v>566</v>
      </c>
      <c r="J34" s="27" t="s">
        <v>566</v>
      </c>
      <c r="K34" s="27" t="s">
        <v>566</v>
      </c>
      <c r="L34" s="27" t="s">
        <v>566</v>
      </c>
      <c r="M34" s="27" t="s">
        <v>566</v>
      </c>
      <c r="N34" s="27" t="s">
        <v>566</v>
      </c>
    </row>
    <row r="35" spans="1:14">
      <c r="A35" s="28" t="s">
        <v>567</v>
      </c>
      <c r="B35" s="27" t="s">
        <v>235</v>
      </c>
      <c r="C35" s="38">
        <f>DATOSMENSUALES!C16</f>
        <v>43.73152202184523</v>
      </c>
      <c r="D35" s="38">
        <f>DATOSMENSUALES!D16</f>
        <v>45.017143524919135</v>
      </c>
      <c r="E35" s="38">
        <f>DATOSMENSUALES!E16</f>
        <v>50.55435326597533</v>
      </c>
      <c r="F35" s="38">
        <f>DATOSMENSUALES!F16</f>
        <v>43.050760614089043</v>
      </c>
      <c r="G35" s="38">
        <f>DATOSMENSUALES!G16</f>
        <v>42.619605020505354</v>
      </c>
      <c r="H35" s="38">
        <f>DATOSMENSUALES!H16</f>
        <v>43.296487967552999</v>
      </c>
      <c r="I35" s="38">
        <f>DATOSMENSUALES!I16</f>
        <v>42.432940341478229</v>
      </c>
      <c r="J35" s="38">
        <f>DATOSMENSUALES!J16</f>
        <v>42.218665219869536</v>
      </c>
      <c r="K35" s="38">
        <f>DATOSMENSUALES!K16</f>
        <v>42.191476392982509</v>
      </c>
      <c r="L35" s="38">
        <f>DATOSMENSUALES!L16</f>
        <v>42.758040682126243</v>
      </c>
      <c r="M35" s="38">
        <f>DATOSMENSUALES!M16</f>
        <v>44.175761079367398</v>
      </c>
      <c r="N35" s="38">
        <f>DATOSMENSUALES!N16</f>
        <v>45.111472099393971</v>
      </c>
    </row>
    <row r="36" spans="1:14">
      <c r="A36" s="28" t="s">
        <v>568</v>
      </c>
      <c r="B36" s="27" t="s">
        <v>235</v>
      </c>
      <c r="C36" s="24"/>
      <c r="D36" s="24"/>
      <c r="E36" s="24"/>
      <c r="F36" s="24"/>
      <c r="G36" s="24"/>
      <c r="H36" s="24"/>
      <c r="I36" s="24"/>
      <c r="J36" s="24"/>
      <c r="K36" s="24"/>
      <c r="L36" s="24"/>
      <c r="M36" s="24"/>
      <c r="N36" s="24"/>
    </row>
    <row r="39" spans="1:14" ht="14.45" customHeight="1">
      <c r="A39" s="102" t="s">
        <v>569</v>
      </c>
      <c r="B39" s="102"/>
      <c r="C39" s="102"/>
    </row>
    <row r="40" spans="1:14">
      <c r="A40" s="19"/>
    </row>
    <row r="41" spans="1:14">
      <c r="A41" s="28" t="s">
        <v>570</v>
      </c>
      <c r="B41" s="28" t="s">
        <v>205</v>
      </c>
      <c r="C41" s="28" t="s">
        <v>537</v>
      </c>
      <c r="D41" s="28" t="s">
        <v>538</v>
      </c>
      <c r="E41" s="28" t="s">
        <v>539</v>
      </c>
      <c r="F41" s="28" t="s">
        <v>540</v>
      </c>
      <c r="G41" s="28" t="s">
        <v>541</v>
      </c>
      <c r="H41" s="28" t="s">
        <v>542</v>
      </c>
      <c r="I41" s="28" t="s">
        <v>543</v>
      </c>
      <c r="J41" s="28" t="s">
        <v>544</v>
      </c>
      <c r="K41" s="28" t="s">
        <v>545</v>
      </c>
      <c r="L41" s="28" t="s">
        <v>546</v>
      </c>
      <c r="M41" s="28" t="s">
        <v>547</v>
      </c>
      <c r="N41" s="28" t="s">
        <v>548</v>
      </c>
    </row>
    <row r="42" spans="1:14">
      <c r="A42" s="28" t="s">
        <v>560</v>
      </c>
      <c r="B42" s="27" t="s">
        <v>235</v>
      </c>
      <c r="C42" s="24">
        <f>C7</f>
        <v>14.82</v>
      </c>
      <c r="D42" s="24">
        <f t="shared" ref="D42:N42" si="3">D7</f>
        <v>14.84</v>
      </c>
      <c r="E42" s="24">
        <f t="shared" si="3"/>
        <v>27.58</v>
      </c>
      <c r="F42" s="24">
        <f t="shared" si="3"/>
        <v>18.149999999999999</v>
      </c>
      <c r="G42" s="24">
        <f t="shared" si="3"/>
        <v>8.33</v>
      </c>
      <c r="H42" s="24">
        <f t="shared" si="3"/>
        <v>6.01</v>
      </c>
      <c r="I42" s="24">
        <f t="shared" si="3"/>
        <v>6.18</v>
      </c>
      <c r="J42" s="24">
        <f t="shared" si="3"/>
        <v>7.81</v>
      </c>
      <c r="K42" s="24">
        <f t="shared" si="3"/>
        <v>10.24</v>
      </c>
      <c r="L42" s="24">
        <f t="shared" si="3"/>
        <v>13.91</v>
      </c>
      <c r="M42" s="24">
        <f t="shared" si="3"/>
        <v>17.78</v>
      </c>
      <c r="N42" s="24">
        <f t="shared" si="3"/>
        <v>19.7</v>
      </c>
    </row>
    <row r="43" spans="1:14">
      <c r="A43" s="28" t="s">
        <v>561</v>
      </c>
      <c r="B43" s="27"/>
      <c r="C43" s="27" t="s">
        <v>562</v>
      </c>
      <c r="D43" s="27" t="s">
        <v>562</v>
      </c>
      <c r="E43" s="27" t="s">
        <v>562</v>
      </c>
      <c r="F43" s="27" t="s">
        <v>562</v>
      </c>
      <c r="G43" s="27" t="s">
        <v>562</v>
      </c>
      <c r="H43" s="27" t="s">
        <v>562</v>
      </c>
      <c r="I43" s="27" t="s">
        <v>562</v>
      </c>
      <c r="J43" s="27" t="s">
        <v>562</v>
      </c>
      <c r="K43" s="27" t="s">
        <v>562</v>
      </c>
      <c r="L43" s="27" t="s">
        <v>562</v>
      </c>
      <c r="M43" s="27" t="s">
        <v>562</v>
      </c>
      <c r="N43" s="27" t="s">
        <v>562</v>
      </c>
    </row>
    <row r="44" spans="1:14">
      <c r="A44" s="28" t="s">
        <v>571</v>
      </c>
      <c r="B44" s="27" t="s">
        <v>235</v>
      </c>
      <c r="C44" s="38">
        <v>14.82</v>
      </c>
      <c r="D44" s="38">
        <v>14.84</v>
      </c>
      <c r="E44" s="38">
        <v>27.58</v>
      </c>
      <c r="F44" s="38">
        <v>18.149999999999999</v>
      </c>
      <c r="G44" s="38">
        <v>8.33</v>
      </c>
      <c r="H44" s="38">
        <v>6.01</v>
      </c>
      <c r="I44" s="38">
        <v>6.18</v>
      </c>
      <c r="J44" s="38">
        <v>7.81</v>
      </c>
      <c r="K44" s="38">
        <v>10.24</v>
      </c>
      <c r="L44" s="38">
        <v>13.91</v>
      </c>
      <c r="M44" s="38">
        <v>17.78</v>
      </c>
      <c r="N44" s="38">
        <v>19.7</v>
      </c>
    </row>
    <row r="45" spans="1:14">
      <c r="A45" s="28"/>
      <c r="B45" s="27"/>
      <c r="C45" s="24"/>
      <c r="D45" s="24"/>
      <c r="E45" s="24"/>
      <c r="F45" s="24"/>
      <c r="G45" s="24"/>
      <c r="H45" s="24"/>
      <c r="I45" s="24"/>
      <c r="J45" s="24"/>
      <c r="K45" s="24"/>
      <c r="L45" s="24"/>
      <c r="M45" s="24"/>
      <c r="N45" s="24"/>
    </row>
    <row r="48" spans="1:14">
      <c r="A48" s="28" t="s">
        <v>572</v>
      </c>
      <c r="B48" s="28" t="s">
        <v>205</v>
      </c>
      <c r="C48" s="28" t="s">
        <v>537</v>
      </c>
      <c r="D48" s="28" t="s">
        <v>538</v>
      </c>
      <c r="E48" s="28" t="s">
        <v>539</v>
      </c>
      <c r="F48" s="28" t="s">
        <v>540</v>
      </c>
      <c r="G48" s="28" t="s">
        <v>541</v>
      </c>
      <c r="H48" s="28" t="s">
        <v>542</v>
      </c>
      <c r="I48" s="28" t="s">
        <v>543</v>
      </c>
      <c r="J48" s="28" t="s">
        <v>544</v>
      </c>
      <c r="K48" s="28" t="s">
        <v>545</v>
      </c>
      <c r="L48" s="28" t="s">
        <v>546</v>
      </c>
      <c r="M48" s="28" t="s">
        <v>547</v>
      </c>
      <c r="N48" s="28" t="s">
        <v>548</v>
      </c>
    </row>
    <row r="49" spans="1:14">
      <c r="A49" s="28" t="s">
        <v>560</v>
      </c>
      <c r="B49" s="27" t="s">
        <v>235</v>
      </c>
      <c r="C49" s="24">
        <f>C8</f>
        <v>0</v>
      </c>
      <c r="D49" s="24">
        <f t="shared" ref="D49:N49" si="4">D8</f>
        <v>0</v>
      </c>
      <c r="E49" s="24">
        <f t="shared" si="4"/>
        <v>0</v>
      </c>
      <c r="F49" s="24">
        <f t="shared" si="4"/>
        <v>0.54</v>
      </c>
      <c r="G49" s="24">
        <f t="shared" si="4"/>
        <v>5.92</v>
      </c>
      <c r="H49" s="24">
        <f t="shared" si="4"/>
        <v>11.49</v>
      </c>
      <c r="I49" s="24">
        <f t="shared" si="4"/>
        <v>10.67</v>
      </c>
      <c r="J49" s="24">
        <f t="shared" si="4"/>
        <v>10.17</v>
      </c>
      <c r="K49" s="24">
        <f t="shared" si="4"/>
        <v>8.07</v>
      </c>
      <c r="L49" s="24">
        <f t="shared" si="4"/>
        <v>7.47</v>
      </c>
      <c r="M49" s="24">
        <f t="shared" si="4"/>
        <v>4.82</v>
      </c>
      <c r="N49" s="24">
        <f t="shared" si="4"/>
        <v>0.91</v>
      </c>
    </row>
    <row r="50" spans="1:14">
      <c r="A50" s="28" t="s">
        <v>561</v>
      </c>
      <c r="B50" s="27"/>
      <c r="C50" s="27" t="s">
        <v>562</v>
      </c>
      <c r="D50" s="27" t="s">
        <v>562</v>
      </c>
      <c r="E50" s="27" t="s">
        <v>562</v>
      </c>
      <c r="F50" s="27" t="s">
        <v>562</v>
      </c>
      <c r="G50" s="27" t="s">
        <v>562</v>
      </c>
      <c r="H50" s="27" t="s">
        <v>562</v>
      </c>
      <c r="I50" s="27" t="s">
        <v>562</v>
      </c>
      <c r="J50" s="27" t="s">
        <v>562</v>
      </c>
      <c r="K50" s="27" t="s">
        <v>562</v>
      </c>
      <c r="L50" s="27" t="s">
        <v>562</v>
      </c>
      <c r="M50" s="27" t="s">
        <v>562</v>
      </c>
      <c r="N50" s="27" t="s">
        <v>562</v>
      </c>
    </row>
    <row r="51" spans="1:14">
      <c r="A51" s="28" t="s">
        <v>573</v>
      </c>
      <c r="B51" s="27" t="s">
        <v>235</v>
      </c>
      <c r="C51" s="38">
        <v>0</v>
      </c>
      <c r="D51" s="38">
        <v>0</v>
      </c>
      <c r="E51" s="38">
        <v>0</v>
      </c>
      <c r="F51" s="38">
        <v>0.54</v>
      </c>
      <c r="G51" s="38">
        <v>5.92</v>
      </c>
      <c r="H51" s="38">
        <v>11.49</v>
      </c>
      <c r="I51" s="38">
        <v>10.67</v>
      </c>
      <c r="J51" s="38">
        <v>10.17</v>
      </c>
      <c r="K51" s="38">
        <v>8.07</v>
      </c>
      <c r="L51" s="38">
        <v>7.47</v>
      </c>
      <c r="M51" s="38">
        <v>4.82</v>
      </c>
      <c r="N51" s="38">
        <v>0.91</v>
      </c>
    </row>
    <row r="52" spans="1:14">
      <c r="A52" s="28"/>
      <c r="B52" s="27"/>
      <c r="C52" s="24"/>
      <c r="D52" s="24"/>
      <c r="E52" s="24"/>
      <c r="F52" s="24"/>
      <c r="G52" s="24"/>
      <c r="H52" s="24"/>
      <c r="I52" s="24"/>
      <c r="J52" s="24"/>
      <c r="K52" s="24"/>
      <c r="L52" s="24"/>
      <c r="M52" s="24"/>
      <c r="N52" s="24"/>
    </row>
    <row r="53" spans="1:14">
      <c r="C53" s="18"/>
      <c r="D53" s="18"/>
      <c r="E53" s="18"/>
      <c r="F53" s="18"/>
      <c r="G53" s="18"/>
      <c r="H53" s="18"/>
      <c r="I53" s="18"/>
      <c r="J53" s="18"/>
      <c r="K53" s="18"/>
      <c r="L53" s="18"/>
      <c r="M53" s="18"/>
      <c r="N53" s="18"/>
    </row>
    <row r="54" spans="1:14">
      <c r="A54" s="28" t="s">
        <v>574</v>
      </c>
      <c r="B54" s="25" t="s">
        <v>205</v>
      </c>
      <c r="C54" s="25" t="s">
        <v>537</v>
      </c>
      <c r="D54" s="25" t="s">
        <v>538</v>
      </c>
      <c r="E54" s="25" t="s">
        <v>539</v>
      </c>
      <c r="F54" s="25" t="s">
        <v>540</v>
      </c>
      <c r="G54" s="25" t="s">
        <v>541</v>
      </c>
      <c r="H54" s="25" t="s">
        <v>542</v>
      </c>
      <c r="I54" s="25" t="s">
        <v>543</v>
      </c>
      <c r="J54" s="25" t="s">
        <v>544</v>
      </c>
      <c r="K54" s="25" t="s">
        <v>545</v>
      </c>
      <c r="L54" s="25" t="s">
        <v>546</v>
      </c>
      <c r="M54" s="25" t="s">
        <v>547</v>
      </c>
      <c r="N54" s="25" t="s">
        <v>548</v>
      </c>
    </row>
    <row r="55" spans="1:14">
      <c r="A55" s="30" t="s">
        <v>560</v>
      </c>
      <c r="B55" s="31" t="s">
        <v>235</v>
      </c>
      <c r="C55" s="39">
        <f>C9</f>
        <v>0.42</v>
      </c>
      <c r="D55" s="39">
        <f t="shared" ref="D55:N55" si="5">D9</f>
        <v>0.4</v>
      </c>
      <c r="E55" s="39">
        <f t="shared" si="5"/>
        <v>0.64</v>
      </c>
      <c r="F55" s="39">
        <f t="shared" si="5"/>
        <v>1.03</v>
      </c>
      <c r="G55" s="39">
        <f t="shared" si="5"/>
        <v>1.99</v>
      </c>
      <c r="H55" s="39">
        <f t="shared" si="5"/>
        <v>2.0499999999999998</v>
      </c>
      <c r="I55" s="39">
        <f t="shared" si="5"/>
        <v>1.93</v>
      </c>
      <c r="J55" s="39">
        <f t="shared" si="5"/>
        <v>1.99</v>
      </c>
      <c r="K55" s="39">
        <f t="shared" si="5"/>
        <v>1.41</v>
      </c>
      <c r="L55" s="39">
        <f t="shared" si="5"/>
        <v>0.69</v>
      </c>
      <c r="M55" s="39">
        <f t="shared" si="5"/>
        <v>0.67</v>
      </c>
      <c r="N55" s="39">
        <f t="shared" si="5"/>
        <v>0.62</v>
      </c>
    </row>
    <row r="56" spans="1:14">
      <c r="A56" s="30" t="s">
        <v>561</v>
      </c>
      <c r="B56" s="31"/>
      <c r="C56" s="31" t="s">
        <v>562</v>
      </c>
      <c r="D56" s="31" t="s">
        <v>562</v>
      </c>
      <c r="E56" s="31" t="s">
        <v>562</v>
      </c>
      <c r="F56" s="31" t="s">
        <v>562</v>
      </c>
      <c r="G56" s="31" t="s">
        <v>562</v>
      </c>
      <c r="H56" s="31" t="s">
        <v>562</v>
      </c>
      <c r="I56" s="31" t="s">
        <v>562</v>
      </c>
      <c r="J56" s="31" t="s">
        <v>562</v>
      </c>
      <c r="K56" s="31" t="s">
        <v>562</v>
      </c>
      <c r="L56" s="31" t="s">
        <v>562</v>
      </c>
      <c r="M56" s="31" t="s">
        <v>562</v>
      </c>
      <c r="N56" s="31" t="s">
        <v>562</v>
      </c>
    </row>
    <row r="57" spans="1:14">
      <c r="A57" s="30" t="s">
        <v>573</v>
      </c>
      <c r="B57" s="31" t="s">
        <v>235</v>
      </c>
      <c r="C57" s="40">
        <v>0.42</v>
      </c>
      <c r="D57" s="40">
        <v>0.4</v>
      </c>
      <c r="E57" s="40">
        <v>0.64</v>
      </c>
      <c r="F57" s="40">
        <v>1.03</v>
      </c>
      <c r="G57" s="40">
        <v>1.99</v>
      </c>
      <c r="H57" s="40">
        <v>2.0499999999999998</v>
      </c>
      <c r="I57" s="40">
        <v>1.93</v>
      </c>
      <c r="J57" s="40">
        <v>1.99</v>
      </c>
      <c r="K57" s="40">
        <v>1.41</v>
      </c>
      <c r="L57" s="40">
        <v>0.69</v>
      </c>
      <c r="M57" s="40">
        <v>0.67</v>
      </c>
      <c r="N57" s="40">
        <v>0.62</v>
      </c>
    </row>
    <row r="58" spans="1:14">
      <c r="A58" s="28"/>
      <c r="B58" s="27"/>
      <c r="C58" s="31"/>
      <c r="D58" s="31"/>
      <c r="E58" s="31"/>
      <c r="F58" s="31"/>
      <c r="G58" s="31"/>
      <c r="H58" s="31"/>
      <c r="I58" s="31"/>
      <c r="J58" s="31"/>
      <c r="K58" s="31"/>
      <c r="L58" s="31"/>
      <c r="M58" s="31"/>
      <c r="N58" s="31"/>
    </row>
    <row r="59" spans="1:14">
      <c r="C59" s="18"/>
      <c r="D59" s="18"/>
      <c r="E59" s="18"/>
      <c r="F59" s="18"/>
      <c r="G59" s="18"/>
      <c r="H59" s="18"/>
      <c r="I59" s="18"/>
      <c r="J59" s="18"/>
      <c r="K59" s="18"/>
      <c r="L59" s="18"/>
      <c r="M59" s="18"/>
      <c r="N59" s="18"/>
    </row>
    <row r="60" spans="1:14">
      <c r="C60" s="18"/>
      <c r="D60" s="18"/>
      <c r="E60" s="18"/>
      <c r="F60" s="18"/>
      <c r="G60" s="18"/>
      <c r="H60" s="18"/>
      <c r="I60" s="18"/>
      <c r="J60" s="18"/>
      <c r="K60" s="18"/>
      <c r="L60" s="18"/>
      <c r="M60" s="18"/>
      <c r="N60" s="18"/>
    </row>
    <row r="61" spans="1:14">
      <c r="A61" s="98" t="s">
        <v>575</v>
      </c>
      <c r="B61" s="98"/>
      <c r="C61" s="18"/>
      <c r="D61" s="18"/>
      <c r="E61" s="18"/>
      <c r="F61" s="18"/>
      <c r="G61" s="18"/>
      <c r="H61" s="18"/>
      <c r="I61" s="18"/>
      <c r="J61" s="18"/>
      <c r="K61" s="18"/>
      <c r="L61" s="18"/>
      <c r="M61" s="18"/>
      <c r="N61" s="18"/>
    </row>
    <row r="62" spans="1:14">
      <c r="A62" s="32"/>
      <c r="B62" s="28" t="s">
        <v>205</v>
      </c>
      <c r="C62" s="28" t="s">
        <v>537</v>
      </c>
      <c r="D62" s="28" t="s">
        <v>538</v>
      </c>
      <c r="E62" s="28" t="s">
        <v>539</v>
      </c>
      <c r="F62" s="28" t="s">
        <v>540</v>
      </c>
      <c r="G62" s="28" t="s">
        <v>541</v>
      </c>
      <c r="H62" s="28" t="s">
        <v>542</v>
      </c>
      <c r="I62" s="28" t="s">
        <v>543</v>
      </c>
      <c r="J62" s="28" t="s">
        <v>544</v>
      </c>
      <c r="K62" s="28" t="s">
        <v>545</v>
      </c>
      <c r="L62" s="28" t="s">
        <v>546</v>
      </c>
      <c r="M62" s="28" t="s">
        <v>547</v>
      </c>
      <c r="N62" s="28" t="s">
        <v>548</v>
      </c>
    </row>
    <row r="63" spans="1:14">
      <c r="A63" s="28" t="s">
        <v>560</v>
      </c>
      <c r="B63" s="36" t="s">
        <v>235</v>
      </c>
      <c r="C63" s="41">
        <f>C7+C8+C9+C10</f>
        <v>300</v>
      </c>
      <c r="D63" s="41">
        <f t="shared" ref="D63:N63" si="6">D7+D8+D9+D10</f>
        <v>291.19170984455957</v>
      </c>
      <c r="E63" s="41">
        <f t="shared" si="6"/>
        <v>284.97409326424872</v>
      </c>
      <c r="F63" s="41">
        <f t="shared" si="6"/>
        <v>219.6891191709845</v>
      </c>
      <c r="G63" s="41">
        <f t="shared" si="6"/>
        <v>234.19689119170985</v>
      </c>
      <c r="H63" s="41">
        <f t="shared" si="6"/>
        <v>251.81347150259074</v>
      </c>
      <c r="I63" s="41">
        <f t="shared" si="6"/>
        <v>266.32124352331613</v>
      </c>
      <c r="J63" s="41">
        <f t="shared" si="6"/>
        <v>237.30569948186528</v>
      </c>
      <c r="K63" s="41">
        <f t="shared" si="6"/>
        <v>225.90673575129537</v>
      </c>
      <c r="L63" s="41">
        <f t="shared" si="6"/>
        <v>256.9948186528498</v>
      </c>
      <c r="M63" s="41">
        <f t="shared" si="6"/>
        <v>280.82901554404151</v>
      </c>
      <c r="N63" s="41">
        <f t="shared" si="6"/>
        <v>300</v>
      </c>
    </row>
    <row r="64" spans="1:14">
      <c r="A64" s="28" t="s">
        <v>561</v>
      </c>
      <c r="B64" s="37"/>
      <c r="C64" s="27" t="s">
        <v>576</v>
      </c>
      <c r="D64" s="27" t="s">
        <v>576</v>
      </c>
      <c r="E64" s="27" t="s">
        <v>576</v>
      </c>
      <c r="F64" s="27" t="s">
        <v>576</v>
      </c>
      <c r="G64" s="27" t="s">
        <v>576</v>
      </c>
      <c r="H64" s="27" t="s">
        <v>576</v>
      </c>
      <c r="I64" s="27" t="s">
        <v>576</v>
      </c>
      <c r="J64" s="27" t="s">
        <v>576</v>
      </c>
      <c r="K64" s="27" t="s">
        <v>576</v>
      </c>
      <c r="L64" s="27" t="s">
        <v>576</v>
      </c>
      <c r="M64" s="27" t="s">
        <v>576</v>
      </c>
      <c r="N64" s="27" t="s">
        <v>576</v>
      </c>
    </row>
    <row r="65" spans="1:14">
      <c r="A65" s="28" t="s">
        <v>577</v>
      </c>
      <c r="B65" s="37" t="s">
        <v>235</v>
      </c>
      <c r="C65" s="38">
        <v>300</v>
      </c>
      <c r="D65" s="38">
        <v>300</v>
      </c>
      <c r="E65" s="38">
        <v>300</v>
      </c>
      <c r="F65" s="38">
        <v>300</v>
      </c>
      <c r="G65" s="38">
        <v>300</v>
      </c>
      <c r="H65" s="38">
        <v>300</v>
      </c>
      <c r="I65" s="38">
        <v>300</v>
      </c>
      <c r="J65" s="38">
        <v>300</v>
      </c>
      <c r="K65" s="38">
        <v>300</v>
      </c>
      <c r="L65" s="38">
        <v>300</v>
      </c>
      <c r="M65" s="38">
        <v>300</v>
      </c>
      <c r="N65" s="38">
        <v>300</v>
      </c>
    </row>
    <row r="66" spans="1:14">
      <c r="A66" s="28" t="s">
        <v>568</v>
      </c>
      <c r="B66" s="37" t="s">
        <v>235</v>
      </c>
      <c r="C66" s="24"/>
      <c r="D66" s="24"/>
      <c r="E66" s="24"/>
      <c r="F66" s="24"/>
      <c r="G66" s="24"/>
      <c r="H66" s="24"/>
      <c r="I66" s="24"/>
      <c r="J66" s="24"/>
      <c r="K66" s="24"/>
      <c r="L66" s="24"/>
      <c r="M66" s="24"/>
      <c r="N66" s="24"/>
    </row>
    <row r="68" spans="1:14">
      <c r="A68" s="98" t="s">
        <v>578</v>
      </c>
      <c r="B68" s="98"/>
      <c r="C68" t="s">
        <v>579</v>
      </c>
    </row>
    <row r="70" spans="1:14">
      <c r="A70" s="98" t="s">
        <v>580</v>
      </c>
      <c r="B70" s="98"/>
    </row>
    <row r="71" spans="1:14">
      <c r="A71" s="28" t="s">
        <v>204</v>
      </c>
      <c r="B71" s="28" t="s">
        <v>27</v>
      </c>
    </row>
    <row r="72" spans="1:14">
      <c r="A72" s="28" t="s">
        <v>581</v>
      </c>
      <c r="B72" s="23">
        <v>101930</v>
      </c>
    </row>
    <row r="73" spans="1:14">
      <c r="A73" s="35" t="s">
        <v>582</v>
      </c>
      <c r="B73" s="20">
        <v>124370</v>
      </c>
    </row>
    <row r="74" spans="1:14">
      <c r="A74" s="35" t="s">
        <v>583</v>
      </c>
      <c r="B74" s="20">
        <v>159420</v>
      </c>
    </row>
    <row r="75" spans="1:14">
      <c r="A75" s="35" t="s">
        <v>584</v>
      </c>
      <c r="B75" s="21">
        <v>1388.89</v>
      </c>
    </row>
    <row r="76" spans="1:14">
      <c r="A76" s="86" t="s">
        <v>585</v>
      </c>
      <c r="B76" s="17">
        <v>1500000</v>
      </c>
    </row>
    <row r="77" spans="1:14">
      <c r="A77" s="22"/>
      <c r="B77" s="28" t="s">
        <v>205</v>
      </c>
      <c r="C77" s="28" t="s">
        <v>537</v>
      </c>
      <c r="D77" s="28" t="s">
        <v>538</v>
      </c>
      <c r="E77" s="28" t="s">
        <v>539</v>
      </c>
      <c r="F77" s="28" t="s">
        <v>540</v>
      </c>
      <c r="G77" s="28" t="s">
        <v>541</v>
      </c>
      <c r="H77" s="28" t="s">
        <v>542</v>
      </c>
      <c r="I77" s="28" t="s">
        <v>543</v>
      </c>
      <c r="J77" s="28" t="s">
        <v>544</v>
      </c>
      <c r="K77" s="28" t="s">
        <v>545</v>
      </c>
      <c r="L77" s="28" t="s">
        <v>546</v>
      </c>
      <c r="M77" s="28" t="s">
        <v>547</v>
      </c>
      <c r="N77" s="28" t="s">
        <v>548</v>
      </c>
    </row>
    <row r="78" spans="1:14">
      <c r="A78" s="35" t="s">
        <v>586</v>
      </c>
      <c r="B78" s="23" t="s">
        <v>192</v>
      </c>
      <c r="C78" s="33">
        <v>71900</v>
      </c>
      <c r="D78" s="33">
        <v>70730</v>
      </c>
      <c r="E78" s="33">
        <v>70720</v>
      </c>
      <c r="F78" s="33">
        <v>70470</v>
      </c>
      <c r="G78" s="33">
        <v>85650</v>
      </c>
      <c r="H78" s="33">
        <v>97070</v>
      </c>
      <c r="I78" s="33">
        <v>93790</v>
      </c>
      <c r="J78" s="33">
        <v>82330</v>
      </c>
      <c r="K78" s="33">
        <v>76310</v>
      </c>
      <c r="L78" s="33">
        <v>65670</v>
      </c>
      <c r="M78" s="33">
        <v>61670</v>
      </c>
      <c r="N78" s="33">
        <v>56630</v>
      </c>
    </row>
    <row r="81" spans="1:3">
      <c r="A81" s="98" t="s">
        <v>587</v>
      </c>
      <c r="B81" s="98"/>
    </row>
    <row r="82" spans="1:3">
      <c r="B82" s="28" t="s">
        <v>27</v>
      </c>
      <c r="C82" s="28" t="s">
        <v>205</v>
      </c>
    </row>
    <row r="83" spans="1:3">
      <c r="A83" s="28" t="s">
        <v>588</v>
      </c>
      <c r="B83" s="34">
        <v>3.5000000000000003E-2</v>
      </c>
      <c r="C83" t="s">
        <v>226</v>
      </c>
    </row>
  </sheetData>
  <mergeCells count="9">
    <mergeCell ref="A68:B68"/>
    <mergeCell ref="A70:B70"/>
    <mergeCell ref="A81:B81"/>
    <mergeCell ref="A2:G3"/>
    <mergeCell ref="A5:B5"/>
    <mergeCell ref="A16:B16"/>
    <mergeCell ref="A23:B23"/>
    <mergeCell ref="A39:C39"/>
    <mergeCell ref="A61:B6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31C6-92D3-407A-807C-E051A57ECAA8}">
  <sheetPr>
    <tabColor theme="8" tint="-0.249977111117893"/>
  </sheetPr>
  <dimension ref="A2:Q83"/>
  <sheetViews>
    <sheetView zoomScale="68" workbookViewId="0">
      <selection activeCell="E23" sqref="E23"/>
    </sheetView>
  </sheetViews>
  <sheetFormatPr defaultColWidth="11.42578125" defaultRowHeight="14.45"/>
  <cols>
    <col min="1" max="1" width="23.7109375" customWidth="1"/>
    <col min="2" max="2" width="9.7109375" bestFit="1" customWidth="1"/>
    <col min="3" max="3" width="43.85546875" bestFit="1" customWidth="1"/>
    <col min="4" max="4" width="13.7109375" bestFit="1" customWidth="1"/>
    <col min="6" max="7" width="13.7109375" bestFit="1" customWidth="1"/>
    <col min="9" max="10" width="13.7109375" bestFit="1" customWidth="1"/>
  </cols>
  <sheetData>
    <row r="2" spans="1:14">
      <c r="A2" s="99" t="s">
        <v>593</v>
      </c>
      <c r="B2" s="99"/>
      <c r="C2" s="99"/>
      <c r="D2" s="99"/>
      <c r="E2" s="99"/>
      <c r="F2" s="99"/>
      <c r="G2" s="99"/>
    </row>
    <row r="3" spans="1:14">
      <c r="A3" s="99"/>
      <c r="B3" s="99"/>
      <c r="C3" s="99"/>
      <c r="D3" s="99"/>
      <c r="E3" s="99"/>
      <c r="F3" s="99"/>
      <c r="G3" s="99"/>
    </row>
    <row r="5" spans="1:14">
      <c r="A5" s="100" t="s">
        <v>535</v>
      </c>
      <c r="B5" s="101"/>
    </row>
    <row r="6" spans="1:14">
      <c r="A6" s="26" t="s">
        <v>536</v>
      </c>
      <c r="B6" s="28" t="s">
        <v>205</v>
      </c>
      <c r="C6" s="28" t="s">
        <v>537</v>
      </c>
      <c r="D6" s="28" t="s">
        <v>538</v>
      </c>
      <c r="E6" s="28" t="s">
        <v>539</v>
      </c>
      <c r="F6" s="28" t="s">
        <v>540</v>
      </c>
      <c r="G6" s="28" t="s">
        <v>541</v>
      </c>
      <c r="H6" s="28" t="s">
        <v>542</v>
      </c>
      <c r="I6" s="28" t="s">
        <v>543</v>
      </c>
      <c r="J6" s="28" t="s">
        <v>544</v>
      </c>
      <c r="K6" s="28" t="s">
        <v>545</v>
      </c>
      <c r="L6" s="28" t="s">
        <v>546</v>
      </c>
      <c r="M6" s="28" t="s">
        <v>547</v>
      </c>
      <c r="N6" s="28" t="s">
        <v>548</v>
      </c>
    </row>
    <row r="7" spans="1:14">
      <c r="A7" s="26" t="s">
        <v>549</v>
      </c>
      <c r="B7" s="27" t="s">
        <v>235</v>
      </c>
      <c r="C7" s="42">
        <v>14.82</v>
      </c>
      <c r="D7" s="42">
        <v>14.84</v>
      </c>
      <c r="E7" s="42">
        <v>27.58</v>
      </c>
      <c r="F7" s="42">
        <v>18.149999999999999</v>
      </c>
      <c r="G7" s="42">
        <v>8.33</v>
      </c>
      <c r="H7" s="42">
        <v>6.01</v>
      </c>
      <c r="I7" s="42">
        <v>6.18</v>
      </c>
      <c r="J7" s="42">
        <v>7.81</v>
      </c>
      <c r="K7" s="42">
        <v>10.24</v>
      </c>
      <c r="L7" s="42">
        <v>13.91</v>
      </c>
      <c r="M7" s="42">
        <v>17.78</v>
      </c>
      <c r="N7" s="42">
        <v>19.7</v>
      </c>
    </row>
    <row r="8" spans="1:14">
      <c r="A8" s="26" t="s">
        <v>550</v>
      </c>
      <c r="B8" s="27" t="s">
        <v>235</v>
      </c>
      <c r="C8" s="42">
        <v>0</v>
      </c>
      <c r="D8" s="42">
        <v>0</v>
      </c>
      <c r="E8" s="42">
        <v>0</v>
      </c>
      <c r="F8" s="42">
        <v>0.54</v>
      </c>
      <c r="G8" s="42">
        <v>5.92</v>
      </c>
      <c r="H8" s="42">
        <v>11.49</v>
      </c>
      <c r="I8" s="42">
        <v>10.67</v>
      </c>
      <c r="J8" s="42">
        <v>10.17</v>
      </c>
      <c r="K8" s="42">
        <v>8.07</v>
      </c>
      <c r="L8" s="42">
        <v>7.47</v>
      </c>
      <c r="M8" s="42">
        <v>4.82</v>
      </c>
      <c r="N8" s="42">
        <v>0.91</v>
      </c>
    </row>
    <row r="9" spans="1:14">
      <c r="A9" s="26" t="s">
        <v>551</v>
      </c>
      <c r="B9" s="27" t="s">
        <v>235</v>
      </c>
      <c r="C9" s="42">
        <v>0.42</v>
      </c>
      <c r="D9" s="42">
        <v>0.4</v>
      </c>
      <c r="E9" s="42">
        <v>0.64</v>
      </c>
      <c r="F9" s="42">
        <v>1.03</v>
      </c>
      <c r="G9" s="42">
        <v>1.99</v>
      </c>
      <c r="H9" s="42">
        <v>2.0499999999999998</v>
      </c>
      <c r="I9" s="42">
        <v>1.93</v>
      </c>
      <c r="J9" s="42">
        <v>1.99</v>
      </c>
      <c r="K9" s="42">
        <v>1.41</v>
      </c>
      <c r="L9" s="42">
        <v>0.69</v>
      </c>
      <c r="M9" s="42">
        <v>0.67</v>
      </c>
      <c r="N9" s="42">
        <v>0.62</v>
      </c>
    </row>
    <row r="10" spans="1:14">
      <c r="A10" s="26" t="s">
        <v>552</v>
      </c>
      <c r="B10" s="27" t="s">
        <v>235</v>
      </c>
      <c r="C10" s="42">
        <v>284.76</v>
      </c>
      <c r="D10" s="42">
        <v>284.76000000000005</v>
      </c>
      <c r="E10" s="42">
        <v>271.78000000000003</v>
      </c>
      <c r="F10" s="42">
        <v>212.40435233160625</v>
      </c>
      <c r="G10" s="42">
        <v>217.95689119170984</v>
      </c>
      <c r="H10" s="42">
        <v>232.26347150259073</v>
      </c>
      <c r="I10" s="42">
        <v>247.54124352331613</v>
      </c>
      <c r="J10" s="42">
        <v>217.33569948186528</v>
      </c>
      <c r="K10" s="42">
        <v>206.18673575129537</v>
      </c>
      <c r="L10" s="42">
        <v>234.92481865284978</v>
      </c>
      <c r="M10" s="42">
        <v>257.55901554404153</v>
      </c>
      <c r="N10" s="42">
        <v>278.77</v>
      </c>
    </row>
    <row r="11" spans="1:14">
      <c r="A11" s="26" t="s">
        <v>553</v>
      </c>
      <c r="B11" s="27" t="s">
        <v>235</v>
      </c>
      <c r="C11" s="42">
        <v>43.73152202184523</v>
      </c>
      <c r="D11" s="42">
        <v>45.017143524919135</v>
      </c>
      <c r="E11" s="42">
        <v>50.55435326597533</v>
      </c>
      <c r="F11" s="42">
        <v>43.050760614089043</v>
      </c>
      <c r="G11" s="42">
        <v>42.619605020505354</v>
      </c>
      <c r="H11" s="42">
        <v>43.296487967552999</v>
      </c>
      <c r="I11" s="42">
        <v>42.432940341478229</v>
      </c>
      <c r="J11" s="42">
        <v>42.218665219869536</v>
      </c>
      <c r="K11" s="42">
        <v>42.191476392982509</v>
      </c>
      <c r="L11" s="42">
        <v>42.758040682126243</v>
      </c>
      <c r="M11" s="42">
        <v>44.175761079367398</v>
      </c>
      <c r="N11" s="42">
        <v>45.111472099393971</v>
      </c>
    </row>
    <row r="12" spans="1:14">
      <c r="A12" s="83" t="s">
        <v>554</v>
      </c>
      <c r="B12" s="84" t="s">
        <v>235</v>
      </c>
      <c r="C12" s="85">
        <v>84.500000000000057</v>
      </c>
      <c r="D12" s="85">
        <v>45.5</v>
      </c>
      <c r="E12" s="85">
        <v>25.5</v>
      </c>
      <c r="F12" s="85">
        <v>0</v>
      </c>
      <c r="G12" s="85">
        <v>0</v>
      </c>
      <c r="H12" s="85">
        <v>0</v>
      </c>
      <c r="I12" s="85">
        <v>0</v>
      </c>
      <c r="J12" s="85">
        <v>0</v>
      </c>
      <c r="K12" s="85">
        <v>0</v>
      </c>
      <c r="L12" s="85">
        <v>0</v>
      </c>
      <c r="M12" s="85">
        <v>0</v>
      </c>
      <c r="N12" s="85">
        <v>63.500000000000114</v>
      </c>
    </row>
    <row r="16" spans="1:14">
      <c r="A16" s="98" t="s">
        <v>555</v>
      </c>
      <c r="B16" s="98"/>
    </row>
    <row r="17" spans="1:17">
      <c r="A17" s="28" t="s">
        <v>204</v>
      </c>
      <c r="B17" s="28" t="s">
        <v>205</v>
      </c>
      <c r="C17" s="28" t="s">
        <v>537</v>
      </c>
      <c r="D17" s="28" t="s">
        <v>538</v>
      </c>
      <c r="E17" s="28" t="s">
        <v>539</v>
      </c>
      <c r="F17" s="28" t="s">
        <v>540</v>
      </c>
      <c r="G17" s="28" t="s">
        <v>541</v>
      </c>
      <c r="H17" s="28" t="s">
        <v>542</v>
      </c>
      <c r="I17" s="28" t="s">
        <v>543</v>
      </c>
      <c r="J17" s="28" t="s">
        <v>544</v>
      </c>
      <c r="K17" s="28" t="s">
        <v>545</v>
      </c>
      <c r="L17" s="28" t="s">
        <v>546</v>
      </c>
      <c r="M17" s="28" t="s">
        <v>547</v>
      </c>
      <c r="N17" s="28" t="s">
        <v>548</v>
      </c>
    </row>
    <row r="18" spans="1:17">
      <c r="A18" s="28" t="s">
        <v>556</v>
      </c>
      <c r="B18" s="27" t="s">
        <v>557</v>
      </c>
      <c r="C18" s="24">
        <f>$B$72*C7+$B$73*C8+$B$74*C9+C78*C10+$B$75*C11+$B$76*C12</f>
        <v>148862541.27362102</v>
      </c>
      <c r="D18" s="24">
        <f t="shared" ref="D18:N18" si="0">$B$72*D7+$B$73*D8+$B$74*D9+D78*D10+$B$75*D11+$B$76*D12</f>
        <v>90030007.860470325</v>
      </c>
      <c r="E18" s="24">
        <f t="shared" si="0"/>
        <v>60453754.235707581</v>
      </c>
      <c r="F18" s="24">
        <f t="shared" si="0"/>
        <v>17109319.379717592</v>
      </c>
      <c r="G18" s="24">
        <f t="shared" si="0"/>
        <v>20629794.77378688</v>
      </c>
      <c r="H18" s="24">
        <f t="shared" si="0"/>
        <v>24974370.837929741</v>
      </c>
      <c r="I18" s="24">
        <f t="shared" si="0"/>
        <v>25540463.816562694</v>
      </c>
      <c r="J18" s="24">
        <f t="shared" si="0"/>
        <v>20330047.220279191</v>
      </c>
      <c r="K18" s="24">
        <f t="shared" si="0"/>
        <v>18064920.424828801</v>
      </c>
      <c r="L18" s="24">
        <f t="shared" si="0"/>
        <v>17943789.056055643</v>
      </c>
      <c r="M18" s="24">
        <f t="shared" si="0"/>
        <v>18463609.961406566</v>
      </c>
      <c r="N18" s="24">
        <f t="shared" si="0"/>
        <v>113319438.07248428</v>
      </c>
    </row>
    <row r="19" spans="1:17">
      <c r="B19" s="29"/>
    </row>
    <row r="20" spans="1:17">
      <c r="A20" s="28" t="s">
        <v>558</v>
      </c>
      <c r="B20" s="27" t="s">
        <v>557</v>
      </c>
      <c r="C20" s="42">
        <f>SUM(C18:N18)</f>
        <v>575722056.91285038</v>
      </c>
      <c r="Q20" s="52"/>
    </row>
    <row r="21" spans="1:17">
      <c r="Q21" s="52"/>
    </row>
    <row r="22" spans="1:17">
      <c r="Q22" s="52"/>
    </row>
    <row r="23" spans="1:17">
      <c r="A23" s="98" t="s">
        <v>369</v>
      </c>
      <c r="B23" s="98"/>
      <c r="Q23" s="52"/>
    </row>
    <row r="24" spans="1:17">
      <c r="Q24" s="52"/>
    </row>
    <row r="25" spans="1:17">
      <c r="A25" s="26" t="s">
        <v>559</v>
      </c>
      <c r="Q25" s="52"/>
    </row>
    <row r="26" spans="1:17">
      <c r="A26" s="1"/>
      <c r="B26" s="28" t="s">
        <v>205</v>
      </c>
      <c r="C26" s="28" t="s">
        <v>537</v>
      </c>
      <c r="D26" s="28" t="s">
        <v>538</v>
      </c>
      <c r="E26" s="28" t="s">
        <v>539</v>
      </c>
      <c r="F26" s="28" t="s">
        <v>540</v>
      </c>
      <c r="G26" s="28" t="s">
        <v>541</v>
      </c>
      <c r="H26" s="28" t="s">
        <v>542</v>
      </c>
      <c r="I26" s="28" t="s">
        <v>543</v>
      </c>
      <c r="J26" s="28" t="s">
        <v>544</v>
      </c>
      <c r="K26" s="28" t="s">
        <v>545</v>
      </c>
      <c r="L26" s="28" t="s">
        <v>546</v>
      </c>
      <c r="M26" s="28" t="s">
        <v>547</v>
      </c>
      <c r="N26" s="28" t="s">
        <v>548</v>
      </c>
      <c r="Q26" s="52"/>
    </row>
    <row r="27" spans="1:17">
      <c r="A27" s="28" t="s">
        <v>560</v>
      </c>
      <c r="B27" s="27" t="s">
        <v>235</v>
      </c>
      <c r="C27" s="24">
        <f>(1-$B$83)*(C7+C8+C9+C10)+C12</f>
        <v>374.00000000000006</v>
      </c>
      <c r="D27" s="24">
        <f t="shared" ref="D27:N27" si="1">(1-$B$83)*(D7+D8+D9+D10)+D12</f>
        <v>335.00000000000006</v>
      </c>
      <c r="E27" s="24">
        <f t="shared" si="1"/>
        <v>315</v>
      </c>
      <c r="F27" s="24">
        <f t="shared" si="1"/>
        <v>224.00000000000003</v>
      </c>
      <c r="G27" s="24">
        <f t="shared" si="1"/>
        <v>226</v>
      </c>
      <c r="H27" s="24">
        <f t="shared" si="1"/>
        <v>243.00000000000006</v>
      </c>
      <c r="I27" s="24">
        <f t="shared" si="1"/>
        <v>257.00000000000006</v>
      </c>
      <c r="J27" s="24">
        <f t="shared" si="1"/>
        <v>228.99999999999997</v>
      </c>
      <c r="K27" s="24">
        <f t="shared" si="1"/>
        <v>218.00000000000003</v>
      </c>
      <c r="L27" s="24">
        <f t="shared" si="1"/>
        <v>248.00000000000006</v>
      </c>
      <c r="M27" s="24">
        <f t="shared" si="1"/>
        <v>271.00000000000006</v>
      </c>
      <c r="N27" s="24">
        <f t="shared" si="1"/>
        <v>353.00000000000011</v>
      </c>
      <c r="Q27" s="52"/>
    </row>
    <row r="28" spans="1:17">
      <c r="A28" s="28" t="s">
        <v>561</v>
      </c>
      <c r="B28" s="27"/>
      <c r="C28" s="27" t="s">
        <v>562</v>
      </c>
      <c r="D28" s="27" t="s">
        <v>562</v>
      </c>
      <c r="E28" s="27" t="s">
        <v>562</v>
      </c>
      <c r="F28" s="27" t="s">
        <v>562</v>
      </c>
      <c r="G28" s="27" t="s">
        <v>562</v>
      </c>
      <c r="H28" s="27" t="s">
        <v>562</v>
      </c>
      <c r="I28" s="27" t="s">
        <v>562</v>
      </c>
      <c r="J28" s="27" t="s">
        <v>562</v>
      </c>
      <c r="K28" s="27" t="s">
        <v>562</v>
      </c>
      <c r="L28" s="27" t="s">
        <v>562</v>
      </c>
      <c r="M28" s="27" t="s">
        <v>562</v>
      </c>
      <c r="N28" s="27" t="s">
        <v>562</v>
      </c>
      <c r="Q28" s="52"/>
    </row>
    <row r="29" spans="1:17">
      <c r="A29" s="28" t="s">
        <v>563</v>
      </c>
      <c r="B29" s="27" t="s">
        <v>235</v>
      </c>
      <c r="C29" s="82">
        <v>374</v>
      </c>
      <c r="D29" s="82">
        <v>335</v>
      </c>
      <c r="E29" s="82">
        <v>315</v>
      </c>
      <c r="F29" s="82">
        <v>224</v>
      </c>
      <c r="G29" s="81">
        <v>226</v>
      </c>
      <c r="H29" s="81">
        <v>243</v>
      </c>
      <c r="I29" s="81">
        <v>257</v>
      </c>
      <c r="J29" s="81">
        <v>229</v>
      </c>
      <c r="K29" s="81">
        <v>218</v>
      </c>
      <c r="L29" s="81">
        <v>248</v>
      </c>
      <c r="M29" s="81">
        <v>271</v>
      </c>
      <c r="N29" s="82">
        <v>353</v>
      </c>
      <c r="Q29" s="52"/>
    </row>
    <row r="30" spans="1:17">
      <c r="Q30" s="52"/>
    </row>
    <row r="31" spans="1:17">
      <c r="A31" s="28" t="s">
        <v>564</v>
      </c>
      <c r="Q31" s="52"/>
    </row>
    <row r="32" spans="1:17">
      <c r="A32" s="1"/>
      <c r="B32" s="26" t="s">
        <v>205</v>
      </c>
      <c r="C32" s="26" t="s">
        <v>537</v>
      </c>
      <c r="D32" s="26" t="s">
        <v>538</v>
      </c>
      <c r="E32" s="26" t="s">
        <v>539</v>
      </c>
      <c r="F32" s="26" t="s">
        <v>540</v>
      </c>
      <c r="G32" s="26" t="s">
        <v>541</v>
      </c>
      <c r="H32" s="26" t="s">
        <v>542</v>
      </c>
      <c r="I32" s="26" t="s">
        <v>543</v>
      </c>
      <c r="J32" s="26" t="s">
        <v>544</v>
      </c>
      <c r="K32" s="26" t="s">
        <v>545</v>
      </c>
      <c r="L32" s="26" t="s">
        <v>546</v>
      </c>
      <c r="M32" s="26" t="s">
        <v>547</v>
      </c>
      <c r="N32" s="26" t="s">
        <v>548</v>
      </c>
    </row>
    <row r="33" spans="1:14">
      <c r="A33" s="28" t="s">
        <v>565</v>
      </c>
      <c r="B33" s="27" t="s">
        <v>235</v>
      </c>
      <c r="C33" s="24">
        <f>C11</f>
        <v>43.73152202184523</v>
      </c>
      <c r="D33" s="24">
        <f t="shared" ref="D33:N33" si="2">D11</f>
        <v>45.017143524919135</v>
      </c>
      <c r="E33" s="24">
        <f t="shared" si="2"/>
        <v>50.55435326597533</v>
      </c>
      <c r="F33" s="24">
        <f t="shared" si="2"/>
        <v>43.050760614089043</v>
      </c>
      <c r="G33" s="24">
        <f t="shared" si="2"/>
        <v>42.619605020505354</v>
      </c>
      <c r="H33" s="24">
        <f t="shared" si="2"/>
        <v>43.296487967552999</v>
      </c>
      <c r="I33" s="24">
        <f t="shared" si="2"/>
        <v>42.432940341478229</v>
      </c>
      <c r="J33" s="24">
        <f t="shared" si="2"/>
        <v>42.218665219869536</v>
      </c>
      <c r="K33" s="24">
        <f t="shared" si="2"/>
        <v>42.191476392982509</v>
      </c>
      <c r="L33" s="24">
        <f t="shared" si="2"/>
        <v>42.758040682126243</v>
      </c>
      <c r="M33" s="24">
        <f t="shared" si="2"/>
        <v>44.175761079367398</v>
      </c>
      <c r="N33" s="24">
        <f t="shared" si="2"/>
        <v>45.111472099393971</v>
      </c>
    </row>
    <row r="34" spans="1:14">
      <c r="A34" s="28" t="s">
        <v>561</v>
      </c>
      <c r="B34" s="27"/>
      <c r="C34" s="27" t="s">
        <v>566</v>
      </c>
      <c r="D34" s="27" t="s">
        <v>566</v>
      </c>
      <c r="E34" s="27" t="s">
        <v>566</v>
      </c>
      <c r="F34" s="27" t="s">
        <v>566</v>
      </c>
      <c r="G34" s="27" t="s">
        <v>566</v>
      </c>
      <c r="H34" s="27" t="s">
        <v>566</v>
      </c>
      <c r="I34" s="27" t="s">
        <v>566</v>
      </c>
      <c r="J34" s="27" t="s">
        <v>566</v>
      </c>
      <c r="K34" s="27" t="s">
        <v>566</v>
      </c>
      <c r="L34" s="27" t="s">
        <v>566</v>
      </c>
      <c r="M34" s="27" t="s">
        <v>566</v>
      </c>
      <c r="N34" s="27" t="s">
        <v>566</v>
      </c>
    </row>
    <row r="35" spans="1:14">
      <c r="A35" s="28" t="s">
        <v>567</v>
      </c>
      <c r="B35" s="27" t="s">
        <v>235</v>
      </c>
      <c r="C35" s="38">
        <f>DATOSMENSUALES!C16</f>
        <v>43.73152202184523</v>
      </c>
      <c r="D35" s="38">
        <f>DATOSMENSUALES!D16</f>
        <v>45.017143524919135</v>
      </c>
      <c r="E35" s="38">
        <f>DATOSMENSUALES!E16</f>
        <v>50.55435326597533</v>
      </c>
      <c r="F35" s="38">
        <f>DATOSMENSUALES!F16</f>
        <v>43.050760614089043</v>
      </c>
      <c r="G35" s="38">
        <f>DATOSMENSUALES!G16</f>
        <v>42.619605020505354</v>
      </c>
      <c r="H35" s="38">
        <f>DATOSMENSUALES!H16</f>
        <v>43.296487967552999</v>
      </c>
      <c r="I35" s="38">
        <f>DATOSMENSUALES!I16</f>
        <v>42.432940341478229</v>
      </c>
      <c r="J35" s="38">
        <f>DATOSMENSUALES!J16</f>
        <v>42.218665219869536</v>
      </c>
      <c r="K35" s="38">
        <f>DATOSMENSUALES!K16</f>
        <v>42.191476392982509</v>
      </c>
      <c r="L35" s="38">
        <f>DATOSMENSUALES!L16</f>
        <v>42.758040682126243</v>
      </c>
      <c r="M35" s="38">
        <f>DATOSMENSUALES!M16</f>
        <v>44.175761079367398</v>
      </c>
      <c r="N35" s="38">
        <f>DATOSMENSUALES!N16</f>
        <v>45.111472099393971</v>
      </c>
    </row>
    <row r="36" spans="1:14">
      <c r="A36" s="28" t="s">
        <v>568</v>
      </c>
      <c r="B36" s="27" t="s">
        <v>235</v>
      </c>
      <c r="C36" s="24"/>
      <c r="D36" s="24"/>
      <c r="E36" s="24"/>
      <c r="F36" s="24"/>
      <c r="G36" s="24"/>
      <c r="H36" s="24"/>
      <c r="I36" s="24"/>
      <c r="J36" s="24"/>
      <c r="K36" s="24"/>
      <c r="L36" s="24"/>
      <c r="M36" s="24"/>
      <c r="N36" s="24"/>
    </row>
    <row r="39" spans="1:14" ht="14.45" customHeight="1">
      <c r="A39" s="102" t="s">
        <v>569</v>
      </c>
      <c r="B39" s="102"/>
      <c r="C39" s="102"/>
    </row>
    <row r="40" spans="1:14">
      <c r="A40" s="19"/>
    </row>
    <row r="41" spans="1:14">
      <c r="A41" s="28" t="s">
        <v>570</v>
      </c>
      <c r="B41" s="28" t="s">
        <v>205</v>
      </c>
      <c r="C41" s="28" t="s">
        <v>537</v>
      </c>
      <c r="D41" s="28" t="s">
        <v>538</v>
      </c>
      <c r="E41" s="28" t="s">
        <v>539</v>
      </c>
      <c r="F41" s="28" t="s">
        <v>540</v>
      </c>
      <c r="G41" s="28" t="s">
        <v>541</v>
      </c>
      <c r="H41" s="28" t="s">
        <v>542</v>
      </c>
      <c r="I41" s="28" t="s">
        <v>543</v>
      </c>
      <c r="J41" s="28" t="s">
        <v>544</v>
      </c>
      <c r="K41" s="28" t="s">
        <v>545</v>
      </c>
      <c r="L41" s="28" t="s">
        <v>546</v>
      </c>
      <c r="M41" s="28" t="s">
        <v>547</v>
      </c>
      <c r="N41" s="28" t="s">
        <v>548</v>
      </c>
    </row>
    <row r="42" spans="1:14">
      <c r="A42" s="28" t="s">
        <v>560</v>
      </c>
      <c r="B42" s="27" t="s">
        <v>235</v>
      </c>
      <c r="C42" s="24">
        <f>C7</f>
        <v>14.82</v>
      </c>
      <c r="D42" s="24">
        <f t="shared" ref="D42:N42" si="3">D7</f>
        <v>14.84</v>
      </c>
      <c r="E42" s="24">
        <f t="shared" si="3"/>
        <v>27.58</v>
      </c>
      <c r="F42" s="24">
        <f t="shared" si="3"/>
        <v>18.149999999999999</v>
      </c>
      <c r="G42" s="24">
        <f t="shared" si="3"/>
        <v>8.33</v>
      </c>
      <c r="H42" s="24">
        <f t="shared" si="3"/>
        <v>6.01</v>
      </c>
      <c r="I42" s="24">
        <f t="shared" si="3"/>
        <v>6.18</v>
      </c>
      <c r="J42" s="24">
        <f t="shared" si="3"/>
        <v>7.81</v>
      </c>
      <c r="K42" s="24">
        <f t="shared" si="3"/>
        <v>10.24</v>
      </c>
      <c r="L42" s="24">
        <f t="shared" si="3"/>
        <v>13.91</v>
      </c>
      <c r="M42" s="24">
        <f t="shared" si="3"/>
        <v>17.78</v>
      </c>
      <c r="N42" s="24">
        <f t="shared" si="3"/>
        <v>19.7</v>
      </c>
    </row>
    <row r="43" spans="1:14">
      <c r="A43" s="28" t="s">
        <v>561</v>
      </c>
      <c r="B43" s="27"/>
      <c r="C43" s="27" t="s">
        <v>562</v>
      </c>
      <c r="D43" s="27" t="s">
        <v>562</v>
      </c>
      <c r="E43" s="27" t="s">
        <v>562</v>
      </c>
      <c r="F43" s="27" t="s">
        <v>562</v>
      </c>
      <c r="G43" s="27" t="s">
        <v>562</v>
      </c>
      <c r="H43" s="27" t="s">
        <v>562</v>
      </c>
      <c r="I43" s="27" t="s">
        <v>562</v>
      </c>
      <c r="J43" s="27" t="s">
        <v>562</v>
      </c>
      <c r="K43" s="27" t="s">
        <v>562</v>
      </c>
      <c r="L43" s="27" t="s">
        <v>562</v>
      </c>
      <c r="M43" s="27" t="s">
        <v>562</v>
      </c>
      <c r="N43" s="27" t="s">
        <v>562</v>
      </c>
    </row>
    <row r="44" spans="1:14">
      <c r="A44" s="28" t="s">
        <v>571</v>
      </c>
      <c r="B44" s="27" t="s">
        <v>235</v>
      </c>
      <c r="C44" s="38">
        <v>14.82</v>
      </c>
      <c r="D44" s="38">
        <v>14.84</v>
      </c>
      <c r="E44" s="38">
        <v>27.58</v>
      </c>
      <c r="F44" s="38">
        <v>18.149999999999999</v>
      </c>
      <c r="G44" s="38">
        <v>8.33</v>
      </c>
      <c r="H44" s="38">
        <v>6.01</v>
      </c>
      <c r="I44" s="38">
        <v>6.18</v>
      </c>
      <c r="J44" s="38">
        <v>7.81</v>
      </c>
      <c r="K44" s="38">
        <v>10.24</v>
      </c>
      <c r="L44" s="38">
        <v>13.91</v>
      </c>
      <c r="M44" s="38">
        <v>17.78</v>
      </c>
      <c r="N44" s="38">
        <v>19.7</v>
      </c>
    </row>
    <row r="45" spans="1:14">
      <c r="A45" s="28"/>
      <c r="B45" s="27"/>
      <c r="C45" s="24"/>
      <c r="D45" s="24"/>
      <c r="E45" s="24"/>
      <c r="F45" s="24"/>
      <c r="G45" s="24"/>
      <c r="H45" s="24"/>
      <c r="I45" s="24"/>
      <c r="J45" s="24"/>
      <c r="K45" s="24"/>
      <c r="L45" s="24"/>
      <c r="M45" s="24"/>
      <c r="N45" s="24"/>
    </row>
    <row r="48" spans="1:14">
      <c r="A48" s="28" t="s">
        <v>572</v>
      </c>
      <c r="B48" s="28" t="s">
        <v>205</v>
      </c>
      <c r="C48" s="28" t="s">
        <v>537</v>
      </c>
      <c r="D48" s="28" t="s">
        <v>538</v>
      </c>
      <c r="E48" s="28" t="s">
        <v>539</v>
      </c>
      <c r="F48" s="28" t="s">
        <v>540</v>
      </c>
      <c r="G48" s="28" t="s">
        <v>541</v>
      </c>
      <c r="H48" s="28" t="s">
        <v>542</v>
      </c>
      <c r="I48" s="28" t="s">
        <v>543</v>
      </c>
      <c r="J48" s="28" t="s">
        <v>544</v>
      </c>
      <c r="K48" s="28" t="s">
        <v>545</v>
      </c>
      <c r="L48" s="28" t="s">
        <v>546</v>
      </c>
      <c r="M48" s="28" t="s">
        <v>547</v>
      </c>
      <c r="N48" s="28" t="s">
        <v>548</v>
      </c>
    </row>
    <row r="49" spans="1:14">
      <c r="A49" s="28" t="s">
        <v>560</v>
      </c>
      <c r="B49" s="27" t="s">
        <v>235</v>
      </c>
      <c r="C49" s="24">
        <f>C8</f>
        <v>0</v>
      </c>
      <c r="D49" s="24">
        <f t="shared" ref="D49:N49" si="4">D8</f>
        <v>0</v>
      </c>
      <c r="E49" s="24">
        <f t="shared" si="4"/>
        <v>0</v>
      </c>
      <c r="F49" s="24">
        <f t="shared" si="4"/>
        <v>0.54</v>
      </c>
      <c r="G49" s="24">
        <f t="shared" si="4"/>
        <v>5.92</v>
      </c>
      <c r="H49" s="24">
        <f t="shared" si="4"/>
        <v>11.49</v>
      </c>
      <c r="I49" s="24">
        <f t="shared" si="4"/>
        <v>10.67</v>
      </c>
      <c r="J49" s="24">
        <f t="shared" si="4"/>
        <v>10.17</v>
      </c>
      <c r="K49" s="24">
        <f t="shared" si="4"/>
        <v>8.07</v>
      </c>
      <c r="L49" s="24">
        <f t="shared" si="4"/>
        <v>7.47</v>
      </c>
      <c r="M49" s="24">
        <f t="shared" si="4"/>
        <v>4.82</v>
      </c>
      <c r="N49" s="24">
        <f t="shared" si="4"/>
        <v>0.91</v>
      </c>
    </row>
    <row r="50" spans="1:14">
      <c r="A50" s="28" t="s">
        <v>561</v>
      </c>
      <c r="B50" s="27"/>
      <c r="C50" s="27" t="s">
        <v>562</v>
      </c>
      <c r="D50" s="27" t="s">
        <v>562</v>
      </c>
      <c r="E50" s="27" t="s">
        <v>562</v>
      </c>
      <c r="F50" s="27" t="s">
        <v>562</v>
      </c>
      <c r="G50" s="27" t="s">
        <v>562</v>
      </c>
      <c r="H50" s="27" t="s">
        <v>562</v>
      </c>
      <c r="I50" s="27" t="s">
        <v>562</v>
      </c>
      <c r="J50" s="27" t="s">
        <v>562</v>
      </c>
      <c r="K50" s="27" t="s">
        <v>562</v>
      </c>
      <c r="L50" s="27" t="s">
        <v>562</v>
      </c>
      <c r="M50" s="27" t="s">
        <v>562</v>
      </c>
      <c r="N50" s="27" t="s">
        <v>562</v>
      </c>
    </row>
    <row r="51" spans="1:14">
      <c r="A51" s="28" t="s">
        <v>573</v>
      </c>
      <c r="B51" s="27" t="s">
        <v>235</v>
      </c>
      <c r="C51" s="38">
        <v>0</v>
      </c>
      <c r="D51" s="38">
        <v>0</v>
      </c>
      <c r="E51" s="38">
        <v>0</v>
      </c>
      <c r="F51" s="38">
        <v>0.54</v>
      </c>
      <c r="G51" s="38">
        <v>5.92</v>
      </c>
      <c r="H51" s="38">
        <v>11.49</v>
      </c>
      <c r="I51" s="38">
        <v>10.67</v>
      </c>
      <c r="J51" s="38">
        <v>10.17</v>
      </c>
      <c r="K51" s="38">
        <v>8.07</v>
      </c>
      <c r="L51" s="38">
        <v>7.47</v>
      </c>
      <c r="M51" s="38">
        <v>4.82</v>
      </c>
      <c r="N51" s="38">
        <v>0.91</v>
      </c>
    </row>
    <row r="52" spans="1:14">
      <c r="A52" s="28"/>
      <c r="B52" s="27"/>
      <c r="C52" s="24"/>
      <c r="D52" s="24"/>
      <c r="E52" s="24"/>
      <c r="F52" s="24"/>
      <c r="G52" s="24"/>
      <c r="H52" s="24"/>
      <c r="I52" s="24"/>
      <c r="J52" s="24"/>
      <c r="K52" s="24"/>
      <c r="L52" s="24"/>
      <c r="M52" s="24"/>
      <c r="N52" s="24"/>
    </row>
    <row r="53" spans="1:14">
      <c r="C53" s="18"/>
      <c r="D53" s="18"/>
      <c r="E53" s="18"/>
      <c r="F53" s="18"/>
      <c r="G53" s="18"/>
      <c r="H53" s="18"/>
      <c r="I53" s="18"/>
      <c r="J53" s="18"/>
      <c r="K53" s="18"/>
      <c r="L53" s="18"/>
      <c r="M53" s="18"/>
      <c r="N53" s="18"/>
    </row>
    <row r="54" spans="1:14">
      <c r="A54" s="28" t="s">
        <v>574</v>
      </c>
      <c r="B54" s="25" t="s">
        <v>205</v>
      </c>
      <c r="C54" s="25" t="s">
        <v>537</v>
      </c>
      <c r="D54" s="25" t="s">
        <v>538</v>
      </c>
      <c r="E54" s="25" t="s">
        <v>539</v>
      </c>
      <c r="F54" s="25" t="s">
        <v>540</v>
      </c>
      <c r="G54" s="25" t="s">
        <v>541</v>
      </c>
      <c r="H54" s="25" t="s">
        <v>542</v>
      </c>
      <c r="I54" s="25" t="s">
        <v>543</v>
      </c>
      <c r="J54" s="25" t="s">
        <v>544</v>
      </c>
      <c r="K54" s="25" t="s">
        <v>545</v>
      </c>
      <c r="L54" s="25" t="s">
        <v>546</v>
      </c>
      <c r="M54" s="25" t="s">
        <v>547</v>
      </c>
      <c r="N54" s="25" t="s">
        <v>548</v>
      </c>
    </row>
    <row r="55" spans="1:14">
      <c r="A55" s="30" t="s">
        <v>560</v>
      </c>
      <c r="B55" s="31" t="s">
        <v>235</v>
      </c>
      <c r="C55" s="39">
        <f>C9</f>
        <v>0.42</v>
      </c>
      <c r="D55" s="39">
        <f t="shared" ref="D55:N55" si="5">D9</f>
        <v>0.4</v>
      </c>
      <c r="E55" s="39">
        <f t="shared" si="5"/>
        <v>0.64</v>
      </c>
      <c r="F55" s="39">
        <f t="shared" si="5"/>
        <v>1.03</v>
      </c>
      <c r="G55" s="39">
        <f t="shared" si="5"/>
        <v>1.99</v>
      </c>
      <c r="H55" s="39">
        <f t="shared" si="5"/>
        <v>2.0499999999999998</v>
      </c>
      <c r="I55" s="39">
        <f t="shared" si="5"/>
        <v>1.93</v>
      </c>
      <c r="J55" s="39">
        <f t="shared" si="5"/>
        <v>1.99</v>
      </c>
      <c r="K55" s="39">
        <f t="shared" si="5"/>
        <v>1.41</v>
      </c>
      <c r="L55" s="39">
        <f t="shared" si="5"/>
        <v>0.69</v>
      </c>
      <c r="M55" s="39">
        <f t="shared" si="5"/>
        <v>0.67</v>
      </c>
      <c r="N55" s="39">
        <f t="shared" si="5"/>
        <v>0.62</v>
      </c>
    </row>
    <row r="56" spans="1:14">
      <c r="A56" s="30" t="s">
        <v>561</v>
      </c>
      <c r="B56" s="31"/>
      <c r="C56" s="31" t="s">
        <v>562</v>
      </c>
      <c r="D56" s="31" t="s">
        <v>562</v>
      </c>
      <c r="E56" s="31" t="s">
        <v>562</v>
      </c>
      <c r="F56" s="31" t="s">
        <v>562</v>
      </c>
      <c r="G56" s="31" t="s">
        <v>562</v>
      </c>
      <c r="H56" s="31" t="s">
        <v>562</v>
      </c>
      <c r="I56" s="31" t="s">
        <v>562</v>
      </c>
      <c r="J56" s="31" t="s">
        <v>562</v>
      </c>
      <c r="K56" s="31" t="s">
        <v>562</v>
      </c>
      <c r="L56" s="31" t="s">
        <v>562</v>
      </c>
      <c r="M56" s="31" t="s">
        <v>562</v>
      </c>
      <c r="N56" s="31" t="s">
        <v>562</v>
      </c>
    </row>
    <row r="57" spans="1:14">
      <c r="A57" s="30" t="s">
        <v>573</v>
      </c>
      <c r="B57" s="31" t="s">
        <v>235</v>
      </c>
      <c r="C57" s="40">
        <v>0.42</v>
      </c>
      <c r="D57" s="40">
        <v>0.4</v>
      </c>
      <c r="E57" s="40">
        <v>0.64</v>
      </c>
      <c r="F57" s="40">
        <v>1.03</v>
      </c>
      <c r="G57" s="40">
        <v>1.99</v>
      </c>
      <c r="H57" s="40">
        <v>2.0499999999999998</v>
      </c>
      <c r="I57" s="40">
        <v>1.93</v>
      </c>
      <c r="J57" s="40">
        <v>1.99</v>
      </c>
      <c r="K57" s="40">
        <v>1.41</v>
      </c>
      <c r="L57" s="40">
        <v>0.69</v>
      </c>
      <c r="M57" s="40">
        <v>0.67</v>
      </c>
      <c r="N57" s="40">
        <v>0.62</v>
      </c>
    </row>
    <row r="58" spans="1:14">
      <c r="A58" s="28"/>
      <c r="B58" s="27"/>
      <c r="C58" s="31"/>
      <c r="D58" s="31"/>
      <c r="E58" s="31"/>
      <c r="F58" s="31"/>
      <c r="G58" s="31"/>
      <c r="H58" s="31"/>
      <c r="I58" s="31"/>
      <c r="J58" s="31"/>
      <c r="K58" s="31"/>
      <c r="L58" s="31"/>
      <c r="M58" s="31"/>
      <c r="N58" s="31"/>
    </row>
    <row r="59" spans="1:14">
      <c r="C59" s="18"/>
      <c r="D59" s="18"/>
      <c r="E59" s="18"/>
      <c r="F59" s="18"/>
      <c r="G59" s="18"/>
      <c r="H59" s="18"/>
      <c r="I59" s="18"/>
      <c r="J59" s="18"/>
      <c r="K59" s="18"/>
      <c r="L59" s="18"/>
      <c r="M59" s="18"/>
      <c r="N59" s="18"/>
    </row>
    <row r="60" spans="1:14">
      <c r="C60" s="18"/>
      <c r="D60" s="18"/>
      <c r="E60" s="18"/>
      <c r="F60" s="18"/>
      <c r="G60" s="18"/>
      <c r="H60" s="18"/>
      <c r="I60" s="18"/>
      <c r="J60" s="18"/>
      <c r="K60" s="18"/>
      <c r="L60" s="18"/>
      <c r="M60" s="18"/>
      <c r="N60" s="18"/>
    </row>
    <row r="61" spans="1:14">
      <c r="A61" s="98" t="s">
        <v>575</v>
      </c>
      <c r="B61" s="98"/>
      <c r="C61" s="18"/>
      <c r="D61" s="18"/>
      <c r="E61" s="18"/>
      <c r="F61" s="18"/>
      <c r="G61" s="18"/>
      <c r="H61" s="18"/>
      <c r="I61" s="18"/>
      <c r="J61" s="18"/>
      <c r="K61" s="18"/>
      <c r="L61" s="18"/>
      <c r="M61" s="18"/>
      <c r="N61" s="18"/>
    </row>
    <row r="62" spans="1:14">
      <c r="A62" s="32"/>
      <c r="B62" s="28" t="s">
        <v>205</v>
      </c>
      <c r="C62" s="28" t="s">
        <v>537</v>
      </c>
      <c r="D62" s="28" t="s">
        <v>538</v>
      </c>
      <c r="E62" s="28" t="s">
        <v>539</v>
      </c>
      <c r="F62" s="28" t="s">
        <v>540</v>
      </c>
      <c r="G62" s="28" t="s">
        <v>541</v>
      </c>
      <c r="H62" s="28" t="s">
        <v>542</v>
      </c>
      <c r="I62" s="28" t="s">
        <v>543</v>
      </c>
      <c r="J62" s="28" t="s">
        <v>544</v>
      </c>
      <c r="K62" s="28" t="s">
        <v>545</v>
      </c>
      <c r="L62" s="28" t="s">
        <v>546</v>
      </c>
      <c r="M62" s="28" t="s">
        <v>547</v>
      </c>
      <c r="N62" s="28" t="s">
        <v>548</v>
      </c>
    </row>
    <row r="63" spans="1:14">
      <c r="A63" s="28" t="s">
        <v>560</v>
      </c>
      <c r="B63" s="36" t="s">
        <v>235</v>
      </c>
      <c r="C63" s="41">
        <f>C7+C8+C9+C10</f>
        <v>300</v>
      </c>
      <c r="D63" s="41">
        <f t="shared" ref="D63:N63" si="6">D7+D8+D9+D10</f>
        <v>300.00000000000006</v>
      </c>
      <c r="E63" s="41">
        <f t="shared" si="6"/>
        <v>300</v>
      </c>
      <c r="F63" s="41">
        <f t="shared" si="6"/>
        <v>232.12435233160625</v>
      </c>
      <c r="G63" s="41">
        <f t="shared" si="6"/>
        <v>234.19689119170985</v>
      </c>
      <c r="H63" s="41">
        <f t="shared" si="6"/>
        <v>251.81347150259074</v>
      </c>
      <c r="I63" s="41">
        <f t="shared" si="6"/>
        <v>266.32124352331613</v>
      </c>
      <c r="J63" s="41">
        <f t="shared" si="6"/>
        <v>237.30569948186528</v>
      </c>
      <c r="K63" s="41">
        <f t="shared" si="6"/>
        <v>225.90673575129537</v>
      </c>
      <c r="L63" s="41">
        <f t="shared" si="6"/>
        <v>256.9948186528498</v>
      </c>
      <c r="M63" s="41">
        <f t="shared" si="6"/>
        <v>280.82901554404151</v>
      </c>
      <c r="N63" s="41">
        <f t="shared" si="6"/>
        <v>300</v>
      </c>
    </row>
    <row r="64" spans="1:14">
      <c r="A64" s="28" t="s">
        <v>561</v>
      </c>
      <c r="B64" s="37"/>
      <c r="C64" s="27" t="s">
        <v>576</v>
      </c>
      <c r="D64" s="27" t="s">
        <v>576</v>
      </c>
      <c r="E64" s="27" t="s">
        <v>576</v>
      </c>
      <c r="F64" s="27" t="s">
        <v>576</v>
      </c>
      <c r="G64" s="27" t="s">
        <v>576</v>
      </c>
      <c r="H64" s="27" t="s">
        <v>576</v>
      </c>
      <c r="I64" s="27" t="s">
        <v>576</v>
      </c>
      <c r="J64" s="27" t="s">
        <v>576</v>
      </c>
      <c r="K64" s="27" t="s">
        <v>576</v>
      </c>
      <c r="L64" s="27" t="s">
        <v>576</v>
      </c>
      <c r="M64" s="27" t="s">
        <v>576</v>
      </c>
      <c r="N64" s="27" t="s">
        <v>576</v>
      </c>
    </row>
    <row r="65" spans="1:14">
      <c r="A65" s="28" t="s">
        <v>577</v>
      </c>
      <c r="B65" s="37" t="s">
        <v>235</v>
      </c>
      <c r="C65" s="38">
        <v>300</v>
      </c>
      <c r="D65" s="38">
        <v>300</v>
      </c>
      <c r="E65" s="38">
        <v>300</v>
      </c>
      <c r="F65" s="38">
        <v>300</v>
      </c>
      <c r="G65" s="38">
        <v>300</v>
      </c>
      <c r="H65" s="38">
        <v>300</v>
      </c>
      <c r="I65" s="38">
        <v>300</v>
      </c>
      <c r="J65" s="38">
        <v>300</v>
      </c>
      <c r="K65" s="38">
        <v>300</v>
      </c>
      <c r="L65" s="38">
        <v>300</v>
      </c>
      <c r="M65" s="38">
        <v>300</v>
      </c>
      <c r="N65" s="38">
        <v>300</v>
      </c>
    </row>
    <row r="66" spans="1:14">
      <c r="A66" s="28" t="s">
        <v>568</v>
      </c>
      <c r="B66" s="37" t="s">
        <v>235</v>
      </c>
      <c r="C66" s="24"/>
      <c r="D66" s="24"/>
      <c r="E66" s="24"/>
      <c r="F66" s="24"/>
      <c r="G66" s="24"/>
      <c r="H66" s="24"/>
      <c r="I66" s="24"/>
      <c r="J66" s="24"/>
      <c r="K66" s="24"/>
      <c r="L66" s="24"/>
      <c r="M66" s="24"/>
      <c r="N66" s="24"/>
    </row>
    <row r="68" spans="1:14">
      <c r="A68" s="98" t="s">
        <v>578</v>
      </c>
      <c r="B68" s="98"/>
      <c r="C68" t="s">
        <v>579</v>
      </c>
    </row>
    <row r="70" spans="1:14">
      <c r="A70" s="98" t="s">
        <v>580</v>
      </c>
      <c r="B70" s="98"/>
    </row>
    <row r="71" spans="1:14">
      <c r="A71" s="28" t="s">
        <v>204</v>
      </c>
      <c r="B71" s="28" t="s">
        <v>27</v>
      </c>
    </row>
    <row r="72" spans="1:14">
      <c r="A72" s="28" t="s">
        <v>581</v>
      </c>
      <c r="B72" s="23">
        <v>101930</v>
      </c>
    </row>
    <row r="73" spans="1:14">
      <c r="A73" s="35" t="s">
        <v>582</v>
      </c>
      <c r="B73" s="20">
        <v>124370</v>
      </c>
    </row>
    <row r="74" spans="1:14">
      <c r="A74" s="35" t="s">
        <v>583</v>
      </c>
      <c r="B74" s="20">
        <v>159420</v>
      </c>
    </row>
    <row r="75" spans="1:14">
      <c r="A75" s="35" t="s">
        <v>584</v>
      </c>
      <c r="B75" s="21">
        <v>1388.89</v>
      </c>
    </row>
    <row r="76" spans="1:14">
      <c r="A76" s="86" t="s">
        <v>585</v>
      </c>
      <c r="B76" s="17">
        <v>1500000</v>
      </c>
    </row>
    <row r="77" spans="1:14">
      <c r="A77" s="22"/>
      <c r="B77" s="28" t="s">
        <v>205</v>
      </c>
      <c r="C77" s="28" t="s">
        <v>537</v>
      </c>
      <c r="D77" s="28" t="s">
        <v>538</v>
      </c>
      <c r="E77" s="28" t="s">
        <v>539</v>
      </c>
      <c r="F77" s="28" t="s">
        <v>540</v>
      </c>
      <c r="G77" s="28" t="s">
        <v>541</v>
      </c>
      <c r="H77" s="28" t="s">
        <v>542</v>
      </c>
      <c r="I77" s="28" t="s">
        <v>543</v>
      </c>
      <c r="J77" s="28" t="s">
        <v>544</v>
      </c>
      <c r="K77" s="28" t="s">
        <v>545</v>
      </c>
      <c r="L77" s="28" t="s">
        <v>546</v>
      </c>
      <c r="M77" s="28" t="s">
        <v>547</v>
      </c>
      <c r="N77" s="28" t="s">
        <v>548</v>
      </c>
    </row>
    <row r="78" spans="1:14">
      <c r="A78" s="35" t="s">
        <v>586</v>
      </c>
      <c r="B78" s="23" t="s">
        <v>192</v>
      </c>
      <c r="C78" s="33">
        <v>71900</v>
      </c>
      <c r="D78" s="33">
        <v>70730</v>
      </c>
      <c r="E78" s="33">
        <v>70720</v>
      </c>
      <c r="F78" s="33">
        <v>70470</v>
      </c>
      <c r="G78" s="33">
        <v>85650</v>
      </c>
      <c r="H78" s="33">
        <v>97070</v>
      </c>
      <c r="I78" s="33">
        <v>93790</v>
      </c>
      <c r="J78" s="33">
        <v>82330</v>
      </c>
      <c r="K78" s="33">
        <v>76310</v>
      </c>
      <c r="L78" s="33">
        <v>65670</v>
      </c>
      <c r="M78" s="33">
        <v>61670</v>
      </c>
      <c r="N78" s="33">
        <v>56630</v>
      </c>
    </row>
    <row r="81" spans="1:3">
      <c r="A81" s="98" t="s">
        <v>587</v>
      </c>
      <c r="B81" s="98"/>
    </row>
    <row r="82" spans="1:3">
      <c r="B82" s="28" t="s">
        <v>27</v>
      </c>
      <c r="C82" s="28" t="s">
        <v>205</v>
      </c>
    </row>
    <row r="83" spans="1:3">
      <c r="A83" s="28" t="s">
        <v>588</v>
      </c>
      <c r="B83" s="34">
        <v>3.5000000000000003E-2</v>
      </c>
      <c r="C83" t="s">
        <v>226</v>
      </c>
    </row>
  </sheetData>
  <mergeCells count="9">
    <mergeCell ref="A68:B68"/>
    <mergeCell ref="A70:B70"/>
    <mergeCell ref="A81:B81"/>
    <mergeCell ref="A2:G3"/>
    <mergeCell ref="A5:B5"/>
    <mergeCell ref="A16:B16"/>
    <mergeCell ref="A23:B23"/>
    <mergeCell ref="A39:C39"/>
    <mergeCell ref="A61:B6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EC0A-EAA7-4F9A-9B63-EAC8BBA2049F}">
  <sheetPr>
    <tabColor rgb="FFFFFFCC"/>
  </sheetPr>
  <dimension ref="A1:N38"/>
  <sheetViews>
    <sheetView topLeftCell="A34" workbookViewId="0">
      <selection activeCell="R17" sqref="R17"/>
    </sheetView>
  </sheetViews>
  <sheetFormatPr defaultColWidth="9.140625" defaultRowHeight="14.45"/>
  <cols>
    <col min="1" max="1" width="12.5703125" customWidth="1"/>
    <col min="2" max="2" width="9.85546875" customWidth="1"/>
    <col min="3" max="3" width="9.28515625" customWidth="1"/>
    <col min="4" max="4" width="9.42578125" customWidth="1"/>
    <col min="5" max="5" width="9.28515625" customWidth="1"/>
    <col min="6" max="6" width="9.5703125" bestFit="1" customWidth="1"/>
    <col min="7" max="7" width="10.5703125" bestFit="1" customWidth="1"/>
    <col min="8" max="12" width="9.5703125" bestFit="1" customWidth="1"/>
    <col min="13" max="13" width="10.5703125" bestFit="1" customWidth="1"/>
  </cols>
  <sheetData>
    <row r="1" spans="1:13">
      <c r="A1" s="103" t="s">
        <v>596</v>
      </c>
      <c r="B1" s="103"/>
    </row>
    <row r="3" spans="1:13">
      <c r="A3" s="139" t="s">
        <v>597</v>
      </c>
      <c r="B3" s="139"/>
      <c r="C3" s="139"/>
      <c r="D3" s="139"/>
      <c r="E3" s="139"/>
    </row>
    <row r="4" spans="1:13">
      <c r="A4" s="4"/>
      <c r="B4" s="4"/>
      <c r="C4" s="4"/>
      <c r="D4" s="4"/>
      <c r="E4" s="4"/>
    </row>
    <row r="5" spans="1:13">
      <c r="A5" s="87" t="s">
        <v>598</v>
      </c>
      <c r="B5" s="87" t="s">
        <v>29</v>
      </c>
      <c r="C5" s="87" t="s">
        <v>32</v>
      </c>
      <c r="D5" s="87" t="s">
        <v>34</v>
      </c>
      <c r="E5" s="87" t="s">
        <v>37</v>
      </c>
      <c r="F5" s="87" t="s">
        <v>40</v>
      </c>
      <c r="G5" s="87" t="s">
        <v>43</v>
      </c>
      <c r="H5" s="87" t="s">
        <v>46</v>
      </c>
      <c r="I5" s="87" t="s">
        <v>49</v>
      </c>
      <c r="J5" s="87" t="s">
        <v>52</v>
      </c>
      <c r="K5" s="87" t="s">
        <v>54</v>
      </c>
      <c r="L5" s="87" t="s">
        <v>57</v>
      </c>
      <c r="M5" s="87" t="s">
        <v>64</v>
      </c>
    </row>
    <row r="6" spans="1:13">
      <c r="A6" s="87" t="s">
        <v>599</v>
      </c>
      <c r="B6" s="89">
        <f>'PL MULTIPERIODO'!C18/(('PL MULTIPERIODO'!C29-'PL MULTIPERIODO'!C12)*1000)</f>
        <v>76.24113072238967</v>
      </c>
      <c r="C6" s="89">
        <f>'PL MULTIPERIODO'!D18/(('PL MULTIPERIODO'!D29-'PL MULTIPERIODO'!D12)*1000)</f>
        <v>75.291806041907549</v>
      </c>
      <c r="D6" s="89">
        <f>'PL MULTIPERIODO'!E18/(('PL MULTIPERIODO'!E29-'PL MULTIPERIODO'!E12)*1000)</f>
        <v>76.876807677655464</v>
      </c>
      <c r="E6" s="89">
        <f>'PL MULTIPERIODO'!F18/(('PL MULTIPERIODO'!F29-'PL MULTIPERIODO'!F12)*1000)</f>
        <v>76.570794806078212</v>
      </c>
      <c r="F6" s="89">
        <f>'PL MULTIPERIODO'!G18/(('PL MULTIPERIODO'!G29-'PL MULTIPERIODO'!G12)*1000)</f>
        <v>91.282277760118944</v>
      </c>
      <c r="G6" s="89">
        <f>'PL MULTIPERIODO'!H18/(('PL MULTIPERIODO'!H29-'PL MULTIPERIODO'!H12)*1000)</f>
        <v>102.77518863345573</v>
      </c>
      <c r="H6" s="89">
        <f>'PL MULTIPERIODO'!I18/(('PL MULTIPERIODO'!I29-'PL MULTIPERIODO'!I12)*1000)</f>
        <v>99.379236640321764</v>
      </c>
      <c r="I6" s="89">
        <f>'PL MULTIPERIODO'!J18/(('PL MULTIPERIODO'!J29-'PL MULTIPERIODO'!J12)*1000)</f>
        <v>88.777498778511756</v>
      </c>
      <c r="J6" s="89">
        <f>'PL MULTIPERIODO'!K18/(('PL MULTIPERIODO'!K29-'PL MULTIPERIODO'!K12)*1000)</f>
        <v>82.866607453343121</v>
      </c>
      <c r="K6" s="89">
        <f>'PL MULTIPERIODO'!L18/(('PL MULTIPERIODO'!L29-'PL MULTIPERIODO'!L12)*1000)</f>
        <v>72.353988129256621</v>
      </c>
      <c r="L6" s="89">
        <f>'PL MULTIPERIODO'!M18/(('PL MULTIPERIODO'!M29-'PL MULTIPERIODO'!M12)*1000)</f>
        <v>68.13140207161095</v>
      </c>
      <c r="M6" s="89">
        <f>'PL MULTIPERIODO'!N18/(('PL MULTIPERIODO'!N29-'PL MULTIPERIODO'!N12)*1000)</f>
        <v>62.203280079482845</v>
      </c>
    </row>
    <row r="7" spans="1:13">
      <c r="A7" s="87" t="s">
        <v>600</v>
      </c>
      <c r="B7" s="89">
        <f>'PL MULT. AS-TEMPERATURA +10%'!C18/(('PL MULT. AS-TEMPERATURA +10%'!C29-'PL MULT. AS-TEMPERATURA +10%'!C12)*1000)</f>
        <v>75.958417137358879</v>
      </c>
      <c r="C7" s="89">
        <f>'PL MULT. AS-TEMPERATURA +10%'!D18/(('PL MULT. AS-TEMPERATURA +10%'!D29-'PL MULT. AS-TEMPERATURA +10%'!D12)*1000)</f>
        <v>74.969987117326937</v>
      </c>
      <c r="D7" s="89">
        <f>'PL MULT. AS-TEMPERATURA +10%'!E18/(('PL MULT. AS-TEMPERATURA +10%'!E29-'PL MULT. AS-TEMPERATURA +10%'!E12)*1000)</f>
        <v>76.420701825669269</v>
      </c>
      <c r="E7" s="89">
        <f>'PL MULT. AS-TEMPERATURA +10%'!F18/(('PL MULT. AS-TEMPERATURA +10%'!F29-'PL MULT. AS-TEMPERATURA +10%'!F12)*1000)</f>
        <v>76.380890088024969</v>
      </c>
      <c r="F7" s="89">
        <f>'PL MULT. AS-TEMPERATURA +10%'!G18/(('PL MULT. AS-TEMPERATURA +10%'!G29-'PL MULT. AS-TEMPERATURA +10%'!G12)*1000)</f>
        <v>91.282277760118944</v>
      </c>
      <c r="G7" s="89">
        <f>'PL MULT. AS-TEMPERATURA +10%'!H18/(('PL MULT. AS-TEMPERATURA +10%'!H29-'PL MULT. AS-TEMPERATURA +10%'!H12)*1000)</f>
        <v>102.77518863345573</v>
      </c>
      <c r="H7" s="89">
        <f>'PL MULT. AS-TEMPERATURA +10%'!I18/(('PL MULT. AS-TEMPERATURA +10%'!I29-'PL MULT. AS-TEMPERATURA +10%'!I12)*1000)</f>
        <v>99.379236640321764</v>
      </c>
      <c r="I7" s="89">
        <f>'PL MULT. AS-TEMPERATURA +10%'!J18/(('PL MULT. AS-TEMPERATURA +10%'!J29-'PL MULT. AS-TEMPERATURA +10%'!J12)*1000)</f>
        <v>88.777498778511756</v>
      </c>
      <c r="J7" s="89">
        <f>'PL MULT. AS-TEMPERATURA +10%'!K18/(('PL MULT. AS-TEMPERATURA +10%'!K29-'PL MULT. AS-TEMPERATURA +10%'!K12)*1000)</f>
        <v>82.866607453343121</v>
      </c>
      <c r="K7" s="89">
        <f>'PL MULT. AS-TEMPERATURA +10%'!L18/(('PL MULT. AS-TEMPERATURA +10%'!L29-'PL MULT. AS-TEMPERATURA +10%'!L12)*1000)</f>
        <v>72.353988129256621</v>
      </c>
      <c r="L7" s="89">
        <f>'PL MULT. AS-TEMPERATURA +10%'!M18/(('PL MULT. AS-TEMPERATURA +10%'!M29-'PL MULT. AS-TEMPERATURA +10%'!M12)*1000)</f>
        <v>68.13140207161095</v>
      </c>
      <c r="M7" s="89">
        <f>'PL MULT. AS-TEMPERATURA +10%'!N18/(('PL MULT. AS-TEMPERATURA +10%'!N29-'PL MULT. AS-TEMPERATURA +10%'!N12)*1000)</f>
        <v>61.744668907358665</v>
      </c>
    </row>
    <row r="8" spans="1:13">
      <c r="A8" s="87" t="s">
        <v>601</v>
      </c>
      <c r="B8" s="89">
        <f>'PL MULT. AS-TMAX'!C18/(('PL MULT. AS-TMAX'!C29-'PL MULT. AS-TMAX'!C12)*1000)</f>
        <v>198.14349317312926</v>
      </c>
      <c r="C8" s="89">
        <f>'PL MULT. AS-TMAX'!D18/(('PL MULT. AS-TMAX'!D29-'PL MULT. AS-TMAX'!D12)*1000)</f>
        <v>75.291806041907549</v>
      </c>
      <c r="D8" s="89">
        <f>'PL MULT. AS-TMAX'!E18/(('PL MULT. AS-TMAX'!E29-'PL MULT. AS-TMAX'!E12)*1000)</f>
        <v>76.876807677655464</v>
      </c>
      <c r="E8" s="89">
        <f>'PL MULT. AS-TMAX'!F18/(('PL MULT. AS-TMAX'!F29-'PL MULT. AS-TMAX'!F12)*1000)</f>
        <v>76.570794806078212</v>
      </c>
      <c r="F8" s="89">
        <f>'PL MULT. AS-TMAX'!G18/(('PL MULT. AS-TMAX'!G29-'PL MULT. AS-TMAX'!G12)*1000)</f>
        <v>91.282277760118944</v>
      </c>
      <c r="G8" s="89">
        <f>'PL MULT. AS-TMAX'!H18/(('PL MULT. AS-TMAX'!H29-'PL MULT. AS-TMAX'!H12)*1000)</f>
        <v>102.77518863345573</v>
      </c>
      <c r="H8" s="89">
        <f>'PL MULT. AS-TMAX'!I18/(('PL MULT. AS-TMAX'!I29-'PL MULT. AS-TMAX'!I12)*1000)</f>
        <v>99.379236640321764</v>
      </c>
      <c r="I8" s="89">
        <f>'PL MULT. AS-TMAX'!J18/(('PL MULT. AS-TMAX'!J29-'PL MULT. AS-TMAX'!J12)*1000)</f>
        <v>88.777498778511756</v>
      </c>
      <c r="J8" s="89">
        <f>'PL MULT. AS-TMAX'!K18/(('PL MULT. AS-TMAX'!K29-'PL MULT. AS-TMAX'!K12)*1000)</f>
        <v>82.866607453343121</v>
      </c>
      <c r="K8" s="89">
        <f>'PL MULT. AS-TMAX'!L18/(('PL MULT. AS-TMAX'!L29-'PL MULT. AS-TMAX'!L12)*1000)</f>
        <v>72.353988129256621</v>
      </c>
      <c r="L8" s="89">
        <f>'PL MULT. AS-TMAX'!M18/(('PL MULT. AS-TMAX'!M29-'PL MULT. AS-TMAX'!M12)*1000)</f>
        <v>68.13140207161095</v>
      </c>
      <c r="M8" s="89">
        <f>'PL MULT. AS-TMAX'!N18/(('PL MULT. AS-TMAX'!N29-'PL MULT. AS-TMAX'!N12)*1000)</f>
        <v>153.08959610529953</v>
      </c>
    </row>
    <row r="9" spans="1:13">
      <c r="A9" s="87" t="s">
        <v>602</v>
      </c>
      <c r="B9" s="89">
        <f>'PL MULT. AS-TEMP + Tmax'!C18/(('PL MULT. AS-TEMP + Tmax'!C29-'PL MULT. AS-TEMP + Tmax'!C12)*1000)</f>
        <v>514.20566933893281</v>
      </c>
      <c r="C9" s="89">
        <f>'PL MULT. AS-TEMP + Tmax'!D18/(('PL MULT. AS-TEMP + Tmax'!D29-'PL MULT. AS-TEMP + Tmax'!D12)*1000)</f>
        <v>310.9844831104329</v>
      </c>
      <c r="D9" s="89">
        <f>'PL MULT. AS-TEMP + Tmax'!E18/(('PL MULT. AS-TEMP + Tmax'!E29-'PL MULT. AS-TEMP + Tmax'!E12)*1000)</f>
        <v>208.82125815443032</v>
      </c>
      <c r="E9" s="89">
        <f>'PL MULT. AS-TEMP + Tmax'!F18/(('PL MULT. AS-TEMP + Tmax'!F29-'PL MULT. AS-TEMP + Tmax'!F12)*1000)</f>
        <v>76.380890088024969</v>
      </c>
      <c r="F9" s="89">
        <f>'PL MULT. AS-TEMP + Tmax'!G18/(('PL MULT. AS-TEMP + Tmax'!G29-'PL MULT. AS-TEMP + Tmax'!G12)*1000)</f>
        <v>91.282277760118944</v>
      </c>
      <c r="G9" s="89">
        <f>'PL MULT. AS-TEMP + Tmax'!H18/(('PL MULT. AS-TEMP + Tmax'!H29-'PL MULT. AS-TEMP + Tmax'!H12)*1000)</f>
        <v>102.77518863345573</v>
      </c>
      <c r="H9" s="89">
        <f>'PL MULT. AS-TEMP + Tmax'!I18/(('PL MULT. AS-TEMP + Tmax'!I29-'PL MULT. AS-TEMP + Tmax'!I12)*1000)</f>
        <v>99.379236640321764</v>
      </c>
      <c r="I9" s="89">
        <f>'PL MULT. AS-TEMP + Tmax'!J18/(('PL MULT. AS-TEMP + Tmax'!J29-'PL MULT. AS-TEMP + Tmax'!J12)*1000)</f>
        <v>88.777498778511756</v>
      </c>
      <c r="J9" s="89">
        <f>'PL MULT. AS-TEMP + Tmax'!K18/(('PL MULT. AS-TEMP + Tmax'!K29-'PL MULT. AS-TEMP + Tmax'!K12)*1000)</f>
        <v>82.866607453343121</v>
      </c>
      <c r="K9" s="89">
        <f>'PL MULT. AS-TEMP + Tmax'!L18/(('PL MULT. AS-TEMP + Tmax'!L29-'PL MULT. AS-TEMP + Tmax'!L12)*1000)</f>
        <v>72.353988129256621</v>
      </c>
      <c r="L9" s="89">
        <f>'PL MULT. AS-TEMP + Tmax'!M18/(('PL MULT. AS-TEMP + Tmax'!M29-'PL MULT. AS-TEMP + Tmax'!M12)*1000)</f>
        <v>68.13140207161095</v>
      </c>
      <c r="M9" s="89">
        <f>'PL MULT. AS-TEMP + Tmax'!N18/(('PL MULT. AS-TEMP + Tmax'!N29-'PL MULT. AS-TEMP + Tmax'!N12)*1000)</f>
        <v>391.43156501721705</v>
      </c>
    </row>
    <row r="12" spans="1:13">
      <c r="A12" s="110" t="s">
        <v>603</v>
      </c>
      <c r="B12" s="110"/>
      <c r="C12" s="110"/>
      <c r="D12" s="110"/>
    </row>
    <row r="14" spans="1:13">
      <c r="A14" s="87" t="s">
        <v>598</v>
      </c>
      <c r="B14" s="87" t="s">
        <v>604</v>
      </c>
    </row>
    <row r="15" spans="1:13">
      <c r="A15" s="87" t="s">
        <v>599</v>
      </c>
      <c r="B15" s="89">
        <f>'PL MULTIPERIODO'!C20/((SUM('PL MULTIPERIODO'!C29:N29)-SUM('PL MULTIPERIODO'!C12:N12))*1000)</f>
        <v>80.337014642655362</v>
      </c>
    </row>
    <row r="16" spans="1:13">
      <c r="A16" s="87" t="s">
        <v>600</v>
      </c>
      <c r="B16" s="89">
        <f>'PL MULT. AS-TEMPERATURA +10%'!C20/((SUM('PL MULT. AS-TEMPERATURA +10%'!C29:N29)-SUM('PL MULT. AS-TEMPERATURA +10%'!C12:N12))*1000)</f>
        <v>79.698784805231469</v>
      </c>
    </row>
    <row r="17" spans="1:5">
      <c r="A17" s="87" t="s">
        <v>601</v>
      </c>
      <c r="B17" s="89">
        <f>'PL MULT. AS-TMAX'!C20/((SUM('PL MULT. AS-TMAX'!C29:N29)-SUM('PL MULT. AS-TMAX'!C12:N12))*1000)</f>
        <v>100.7436997515546</v>
      </c>
    </row>
    <row r="18" spans="1:5">
      <c r="A18" s="87" t="s">
        <v>602</v>
      </c>
      <c r="B18" s="89">
        <f>'PL MULT. AS-TEMP + Tmax'!C20/((SUM('PL MULT. AS-TEMP + Tmax'!C29:N29)-SUM('PL MULT. AS-TEMP + Tmax'!C12:N12))*1000)</f>
        <v>187.28759170879974</v>
      </c>
    </row>
    <row r="21" spans="1:5">
      <c r="A21" s="103" t="s">
        <v>605</v>
      </c>
      <c r="B21" s="103"/>
    </row>
    <row r="23" spans="1:5">
      <c r="A23" s="110" t="s">
        <v>606</v>
      </c>
      <c r="B23" s="110"/>
      <c r="C23" s="110"/>
      <c r="D23" s="110"/>
    </row>
    <row r="25" spans="1:5">
      <c r="A25" s="87" t="s">
        <v>598</v>
      </c>
      <c r="B25" s="87" t="s">
        <v>604</v>
      </c>
    </row>
    <row r="26" spans="1:5">
      <c r="A26" s="87" t="s">
        <v>599</v>
      </c>
      <c r="B26" s="90">
        <f>SUMPRODUCT('PL MULTIPERIODO'!C12:N12/'PL MULTIPERIODO'!C29:N29)*720</f>
        <v>0</v>
      </c>
    </row>
    <row r="27" spans="1:5">
      <c r="A27" s="87" t="s">
        <v>600</v>
      </c>
      <c r="B27" s="90">
        <f>SUMPRODUCT('PL MULT. AS-TEMPERATURA +10%'!C12:N12/'PL MULT. AS-TEMPERATURA +10%'!C29:N29)*720</f>
        <v>0</v>
      </c>
    </row>
    <row r="28" spans="1:5">
      <c r="A28" s="87" t="s">
        <v>601</v>
      </c>
      <c r="B28" s="89">
        <f>SUMPRODUCT('PL MULT. AS-TMAX'!C12:N12/'PL MULT. AS-TMAX'!C29:N29)*720</f>
        <v>95.099853264093554</v>
      </c>
    </row>
    <row r="29" spans="1:5">
      <c r="A29" s="87" t="s">
        <v>602</v>
      </c>
      <c r="B29" s="89">
        <f>SUMPRODUCT('PL MULT. AS-TEMP + Tmax'!C12:N12/'PL MULT. AS-TEMP + Tmax'!C29:N29)*720</f>
        <v>448.26896945101157</v>
      </c>
    </row>
    <row r="32" spans="1:5">
      <c r="A32" s="109" t="s">
        <v>607</v>
      </c>
      <c r="B32" s="109"/>
      <c r="C32" s="109"/>
      <c r="D32" s="109"/>
      <c r="E32" s="109"/>
    </row>
    <row r="34" spans="1:14">
      <c r="A34" s="91" t="s">
        <v>608</v>
      </c>
      <c r="B34" s="126" t="s">
        <v>609</v>
      </c>
      <c r="C34" s="127"/>
      <c r="D34" s="126" t="s">
        <v>610</v>
      </c>
      <c r="E34" s="120"/>
      <c r="F34" s="119" t="s">
        <v>611</v>
      </c>
      <c r="G34" s="120"/>
      <c r="H34" s="119" t="s">
        <v>612</v>
      </c>
      <c r="I34" s="120"/>
      <c r="J34" s="119" t="s">
        <v>613</v>
      </c>
      <c r="K34" s="120"/>
      <c r="L34" s="119" t="s">
        <v>614</v>
      </c>
      <c r="M34" s="125"/>
      <c r="N34" s="120"/>
    </row>
    <row r="35" spans="1:14">
      <c r="A35" s="88" t="s">
        <v>599</v>
      </c>
      <c r="B35" s="111">
        <f>'PL MULTIPERIODO'!C20</f>
        <v>247438005.09937853</v>
      </c>
      <c r="C35" s="112"/>
      <c r="D35" s="113">
        <v>0</v>
      </c>
      <c r="E35" s="114"/>
      <c r="F35" s="128">
        <f>SUM('PL MULTIPERIODO'!C12:N12)</f>
        <v>0</v>
      </c>
      <c r="G35" s="130"/>
      <c r="H35" s="107">
        <f>B15</f>
        <v>80.337014642655362</v>
      </c>
      <c r="I35" s="108"/>
      <c r="J35" s="123">
        <v>0</v>
      </c>
      <c r="K35" s="114"/>
      <c r="L35" s="128">
        <f>B26</f>
        <v>0</v>
      </c>
      <c r="M35" s="129"/>
      <c r="N35" s="130"/>
    </row>
    <row r="36" spans="1:14">
      <c r="A36" s="88" t="s">
        <v>600</v>
      </c>
      <c r="B36" s="111">
        <f>'PL MULT. AS-TEMPERATURA +10%'!C20</f>
        <v>262448098.36362723</v>
      </c>
      <c r="C36" s="112"/>
      <c r="D36" s="115">
        <f>(B36-$B$35)/$B$35</f>
        <v>6.0662036368342831E-2</v>
      </c>
      <c r="E36" s="116"/>
      <c r="F36" s="128">
        <f>SUM('PL MULT. AS-TEMPERATURA +10%'!C12:N12)</f>
        <v>0</v>
      </c>
      <c r="G36" s="131"/>
      <c r="H36" s="122">
        <f>B16</f>
        <v>79.698784805231469</v>
      </c>
      <c r="I36" s="108"/>
      <c r="J36" s="124">
        <f>(H36-$H$35)/$H$35</f>
        <v>-7.9444057046777709E-3</v>
      </c>
      <c r="K36" s="116"/>
      <c r="L36" s="128">
        <f>B27</f>
        <v>0</v>
      </c>
      <c r="M36" s="129"/>
      <c r="N36" s="130"/>
    </row>
    <row r="37" spans="1:14">
      <c r="A37" s="88" t="s">
        <v>601</v>
      </c>
      <c r="B37" s="111">
        <f>'PL MULT. AS-TMAX'!C20</f>
        <v>306160103.54497445</v>
      </c>
      <c r="C37" s="112"/>
      <c r="D37" s="115">
        <f>(B37-$B$35)/$B$35</f>
        <v>0.237320448901984</v>
      </c>
      <c r="E37" s="116"/>
      <c r="F37" s="104">
        <f>SUM('PL MULT. AS-TMAX'!C12:N12)</f>
        <v>41.000000000000057</v>
      </c>
      <c r="G37" s="105"/>
      <c r="H37" s="107">
        <f>B17</f>
        <v>100.7436997515546</v>
      </c>
      <c r="I37" s="108"/>
      <c r="J37" s="124">
        <f t="shared" ref="J37:J38" si="0">(H37-$H$35)/$H$35</f>
        <v>0.25401348556041814</v>
      </c>
      <c r="K37" s="116"/>
      <c r="L37" s="107">
        <f>B28</f>
        <v>95.099853264093554</v>
      </c>
      <c r="M37" s="121"/>
      <c r="N37" s="108"/>
    </row>
    <row r="38" spans="1:14">
      <c r="A38" s="88" t="s">
        <v>602</v>
      </c>
      <c r="B38" s="111">
        <f>'PL MULT. AS-TEMP + Tmax'!C20</f>
        <v>575722056.91285038</v>
      </c>
      <c r="C38" s="112"/>
      <c r="D38" s="117">
        <f>(B38-$B$35)/$B$35</f>
        <v>1.3267325352127015</v>
      </c>
      <c r="E38" s="118"/>
      <c r="F38" s="104">
        <f>SUM('PL MULT. AS-TEMP + Tmax'!C12:N12)</f>
        <v>219.00000000000017</v>
      </c>
      <c r="G38" s="106"/>
      <c r="H38" s="122">
        <f>B18</f>
        <v>187.28759170879974</v>
      </c>
      <c r="I38" s="108"/>
      <c r="J38" s="124">
        <f t="shared" si="0"/>
        <v>1.3312739780270402</v>
      </c>
      <c r="K38" s="116"/>
      <c r="L38" s="107">
        <f>B29</f>
        <v>448.26896945101157</v>
      </c>
      <c r="M38" s="121"/>
      <c r="N38" s="108"/>
    </row>
  </sheetData>
  <mergeCells count="36">
    <mergeCell ref="D34:E34"/>
    <mergeCell ref="B34:C34"/>
    <mergeCell ref="L35:N35"/>
    <mergeCell ref="L36:N36"/>
    <mergeCell ref="B35:C35"/>
    <mergeCell ref="B36:C36"/>
    <mergeCell ref="F35:G35"/>
    <mergeCell ref="F36:G36"/>
    <mergeCell ref="L37:N37"/>
    <mergeCell ref="L38:N38"/>
    <mergeCell ref="H34:I34"/>
    <mergeCell ref="H36:I36"/>
    <mergeCell ref="H37:I37"/>
    <mergeCell ref="H38:I38"/>
    <mergeCell ref="J35:K35"/>
    <mergeCell ref="J36:K36"/>
    <mergeCell ref="J37:K37"/>
    <mergeCell ref="J38:K38"/>
    <mergeCell ref="J34:K34"/>
    <mergeCell ref="L34:N34"/>
    <mergeCell ref="A1:B1"/>
    <mergeCell ref="A21:B21"/>
    <mergeCell ref="F37:G37"/>
    <mergeCell ref="F38:G38"/>
    <mergeCell ref="H35:I35"/>
    <mergeCell ref="A32:E32"/>
    <mergeCell ref="A3:E3"/>
    <mergeCell ref="A12:D12"/>
    <mergeCell ref="A23:D23"/>
    <mergeCell ref="B37:C37"/>
    <mergeCell ref="B38:C38"/>
    <mergeCell ref="D35:E35"/>
    <mergeCell ref="D36:E36"/>
    <mergeCell ref="D37:E37"/>
    <mergeCell ref="D38:E38"/>
    <mergeCell ref="F34:G34"/>
  </mergeCells>
  <pageMargins left="0.7" right="0.7" top="0.75" bottom="0.75" header="0.3" footer="0.3"/>
  <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Cedron</dc:creator>
  <cp:keywords/>
  <dc:description/>
  <cp:lastModifiedBy>Sabrina Cedron</cp:lastModifiedBy>
  <cp:revision/>
  <dcterms:created xsi:type="dcterms:W3CDTF">2026-06-28T22:41:54Z</dcterms:created>
  <dcterms:modified xsi:type="dcterms:W3CDTF">2026-07-21T02:27:59Z</dcterms:modified>
  <cp:category/>
  <cp:contentStatus/>
</cp:coreProperties>
</file>